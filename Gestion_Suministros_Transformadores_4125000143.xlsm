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gueljimenez/Documents/Liquidacion/2026/Consorcio PLS-RCO/"/>
    </mc:Choice>
  </mc:AlternateContent>
  <xr:revisionPtr revIDLastSave="0" documentId="13_ncr:1_{9DA420AE-76F1-A046-B3FA-419ADF1E0D46}" xr6:coauthVersionLast="47" xr6:coauthVersionMax="47" xr10:uidLastSave="{00000000-0000-0000-0000-000000000000}"/>
  <bookViews>
    <workbookView xWindow="0" yWindow="660" windowWidth="30240" windowHeight="17860" xr2:uid="{00000000-000D-0000-FFFF-FFFF00000000}"/>
  </bookViews>
  <sheets>
    <sheet name="README" sheetId="1" r:id="rId1"/>
    <sheet name="Catalogo_Suministros" sheetId="2" r:id="rId2"/>
    <sheet name="Marcas" sheetId="3" r:id="rId3"/>
    <sheet name="ListasMarcas" sheetId="4" state="hidden" r:id="rId4"/>
    <sheet name="Equipos" sheetId="5" r:id="rId5"/>
    <sheet name="Movimientos" sheetId="6" r:id="rId6"/>
    <sheet name="Entrega" sheetId="7" r:id="rId7"/>
    <sheet name="Dashboard" sheetId="8" r:id="rId8"/>
  </sheets>
  <definedNames>
    <definedName name="ent_anio">Entrega!$F$6</definedName>
    <definedName name="ent_cantidad">Entrega!$C$22</definedName>
    <definedName name="ent_dep">Entrega!$C$14</definedName>
    <definedName name="ent_eqDesc">Entrega!$F$13</definedName>
    <definedName name="ent_equipoID">Entrega!$C$16</definedName>
    <definedName name="ent_marca">Entrega!$C$21</definedName>
    <definedName name="ent_obs">Entrega!$C$8</definedName>
    <definedName name="ent_potencia">Entrega!$F$15</definedName>
    <definedName name="ent_stock">Entrega!$F$21</definedName>
    <definedName name="ent_stockFinal">Entrega!$F$22</definedName>
    <definedName name="ent_subest">Entrega!$C$15</definedName>
    <definedName name="ent_sumID">Entrega!$C$20</definedName>
    <definedName name="ent_sumNombre">Entrega!$C$19</definedName>
    <definedName name="ent_tipo">Entrega!$C$6</definedName>
    <definedName name="ent_unidad">Entrega!$F$20</definedName>
    <definedName name="ent_usuario">Entrega!$C$7</definedName>
    <definedName name="ent_valid">Entrega!$B$27</definedName>
    <definedName name="ent_zona">Entrega!$C$13</definedName>
    <definedName name="flt_dep">Dashboard!$F$50</definedName>
    <definedName name="flt_eq">Dashboard!$C$51</definedName>
    <definedName name="flt_sub">Dashboard!$I$50</definedName>
    <definedName name="flt_zona">Dashboard!$C$50</definedName>
    <definedName name="S01">ListasMarcas!$A$3:$A$3</definedName>
    <definedName name="S02">ListasMarcas!$B$3:$B$3</definedName>
    <definedName name="S03">ListasMarcas!$C$3:$C$3</definedName>
    <definedName name="S04">ListasMarcas!$D$3:$D$3</definedName>
    <definedName name="S05">ListasMarcas!$E$3:$E$3</definedName>
    <definedName name="S06">ListasMarcas!$F$3:$F$3</definedName>
    <definedName name="S07">ListasMarcas!$G$3:$G$3</definedName>
    <definedName name="S08">ListasMarcas!$H$3:$H$3</definedName>
    <definedName name="S09">ListasMarcas!$I$3:$I$3</definedName>
    <definedName name="S10">ListasMarcas!$J$3:$J$3</definedName>
    <definedName name="S11">ListasMarcas!$K$3:$K$3</definedName>
    <definedName name="S12">ListasMarcas!$L$3:$L$3</definedName>
    <definedName name="S13">ListasMarcas!$M$3:$M$3</definedName>
    <definedName name="S14">ListasMarcas!$N$3:$N$3</definedName>
    <definedName name="S15">ListasMarcas!$O$3:$O$3</definedName>
    <definedName name="S16">ListasMarcas!$P$3:$P$3</definedName>
    <definedName name="S17">ListasMarcas!$Q$3:$Q$3</definedName>
    <definedName name="S18">ListasMarcas!$R$3:$R$3</definedName>
    <definedName name="S19">ListasMarcas!$S$3:$S$3</definedName>
    <definedName name="S20">ListasMarcas!$T$3:$T$3</definedName>
    <definedName name="S21">ListasMarcas!$U$3:$U$3</definedName>
    <definedName name="S22">ListasMarcas!$V$3:$V$3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1" i="7" l="1"/>
  <c r="Q31" i="7"/>
  <c r="G26" i="2"/>
  <c r="G27" i="2"/>
  <c r="G28" i="2"/>
  <c r="F26" i="2"/>
  <c r="F27" i="2"/>
  <c r="F28" i="2"/>
  <c r="C20" i="7"/>
  <c r="F20" i="7" s="1"/>
  <c r="N8" i="8"/>
  <c r="N5" i="8"/>
  <c r="E41" i="8"/>
  <c r="D41" i="8"/>
  <c r="C41" i="8"/>
  <c r="E40" i="8"/>
  <c r="D40" i="8"/>
  <c r="C40" i="8"/>
  <c r="E39" i="8"/>
  <c r="D39" i="8"/>
  <c r="C39" i="8"/>
  <c r="G22" i="8"/>
  <c r="C22" i="8"/>
  <c r="G21" i="8"/>
  <c r="C21" i="8"/>
  <c r="G20" i="8"/>
  <c r="C20" i="8"/>
  <c r="G19" i="8"/>
  <c r="C19" i="8"/>
  <c r="G18" i="8"/>
  <c r="C18" i="8"/>
  <c r="G17" i="8"/>
  <c r="C17" i="8"/>
  <c r="G16" i="8"/>
  <c r="C16" i="8"/>
  <c r="G15" i="8"/>
  <c r="C15" i="8"/>
  <c r="F11" i="8"/>
  <c r="B11" i="8"/>
  <c r="J8" i="8"/>
  <c r="F8" i="8"/>
  <c r="B5" i="8"/>
  <c r="P31" i="7"/>
  <c r="O31" i="7"/>
  <c r="N31" i="7"/>
  <c r="M31" i="7"/>
  <c r="K31" i="7"/>
  <c r="I31" i="7"/>
  <c r="H31" i="7"/>
  <c r="G31" i="7"/>
  <c r="F31" i="7"/>
  <c r="D31" i="7"/>
  <c r="B31" i="7"/>
  <c r="F16" i="7"/>
  <c r="F15" i="7"/>
  <c r="F13" i="7"/>
  <c r="E31" i="7" s="1"/>
  <c r="G25" i="2"/>
  <c r="F25" i="2"/>
  <c r="G24" i="2"/>
  <c r="F24" i="2"/>
  <c r="G23" i="2"/>
  <c r="F23" i="2"/>
  <c r="G22" i="2"/>
  <c r="F22" i="2"/>
  <c r="G21" i="2"/>
  <c r="F21" i="2"/>
  <c r="G20" i="2"/>
  <c r="F20" i="2"/>
  <c r="G19" i="2"/>
  <c r="F19" i="2"/>
  <c r="G18" i="2"/>
  <c r="F18" i="2"/>
  <c r="G17" i="2"/>
  <c r="F17" i="2"/>
  <c r="G16" i="2"/>
  <c r="F16" i="2"/>
  <c r="G15" i="2"/>
  <c r="F15" i="2"/>
  <c r="G14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H28" i="2" l="1"/>
  <c r="I28" i="2" s="1"/>
  <c r="H27" i="2"/>
  <c r="I27" i="2" s="1"/>
  <c r="H26" i="2"/>
  <c r="I26" i="2" s="1"/>
  <c r="L31" i="7"/>
  <c r="J31" i="7"/>
  <c r="H6" i="2"/>
  <c r="F17" i="8" s="1"/>
  <c r="H17" i="8" s="1"/>
  <c r="H11" i="2"/>
  <c r="I11" i="2" s="1"/>
  <c r="I22" i="8" s="1"/>
  <c r="H16" i="2"/>
  <c r="I16" i="2" s="1"/>
  <c r="H21" i="2"/>
  <c r="I21" i="2" s="1"/>
  <c r="H4" i="2"/>
  <c r="I4" i="2" s="1"/>
  <c r="I15" i="8" s="1"/>
  <c r="H9" i="2"/>
  <c r="F20" i="8" s="1"/>
  <c r="H20" i="8" s="1"/>
  <c r="H19" i="2"/>
  <c r="I19" i="2" s="1"/>
  <c r="H7" i="2"/>
  <c r="F18" i="8" s="1"/>
  <c r="H18" i="8" s="1"/>
  <c r="H22" i="2"/>
  <c r="I22" i="2" s="1"/>
  <c r="H25" i="2"/>
  <c r="I25" i="2" s="1"/>
  <c r="H8" i="2"/>
  <c r="I8" i="2" s="1"/>
  <c r="I19" i="8" s="1"/>
  <c r="H13" i="2"/>
  <c r="I13" i="2" s="1"/>
  <c r="H18" i="2"/>
  <c r="I18" i="2" s="1"/>
  <c r="H23" i="2"/>
  <c r="I23" i="2" s="1"/>
  <c r="H20" i="2"/>
  <c r="I20" i="2" s="1"/>
  <c r="H12" i="2"/>
  <c r="I12" i="2" s="1"/>
  <c r="H17" i="2"/>
  <c r="I17" i="2" s="1"/>
  <c r="H14" i="2"/>
  <c r="I14" i="2" s="1"/>
  <c r="H5" i="2"/>
  <c r="F16" i="8" s="1"/>
  <c r="H16" i="8" s="1"/>
  <c r="H10" i="2"/>
  <c r="F21" i="8" s="1"/>
  <c r="H21" i="8" s="1"/>
  <c r="H15" i="2"/>
  <c r="I15" i="2" s="1"/>
  <c r="H24" i="2"/>
  <c r="I24" i="2" s="1"/>
  <c r="F21" i="7" l="1"/>
  <c r="I6" i="2"/>
  <c r="I17" i="8" s="1"/>
  <c r="F15" i="8"/>
  <c r="H15" i="8" s="1"/>
  <c r="F22" i="8"/>
  <c r="H22" i="8" s="1"/>
  <c r="I9" i="2"/>
  <c r="I20" i="8" s="1"/>
  <c r="I7" i="2"/>
  <c r="I18" i="8" s="1"/>
  <c r="F19" i="8"/>
  <c r="H19" i="8" s="1"/>
  <c r="I5" i="2"/>
  <c r="I16" i="8" s="1"/>
  <c r="N11" i="8"/>
  <c r="J5" i="8"/>
  <c r="B8" i="8"/>
  <c r="C26" i="8"/>
  <c r="J11" i="8"/>
  <c r="F5" i="8"/>
  <c r="C28" i="8"/>
  <c r="C27" i="8"/>
  <c r="I10" i="2"/>
  <c r="I21" i="8" s="1"/>
  <c r="F22" i="7" l="1"/>
  <c r="B27" i="7"/>
</calcChain>
</file>

<file path=xl/sharedStrings.xml><?xml version="1.0" encoding="utf-8"?>
<sst xmlns="http://schemas.openxmlformats.org/spreadsheetml/2006/main" count="2060" uniqueCount="938">
  <si>
    <t>SISTEMA DE GESTIÓN DE SUMINISTROS — TRANSFORMADORES DE POTENCIA</t>
  </si>
  <si>
    <t>1. CONCEPTO</t>
  </si>
  <si>
    <t>INGRESO = entra stock al inventario (compra, devolución, ajuste positivo).</t>
  </si>
  <si>
    <t>EGRESO = sale stock del inventario (instalación en transformador, baja).</t>
  </si>
  <si>
    <t>Stock_Actual = Stock_Inicial + SUMA(Ingresos) − SUMA(Egresos)</t>
  </si>
  <si>
    <t>2. HOJAS DEL LIBRO</t>
  </si>
  <si>
    <t>• Catalogo_Suministros: 22 items con Stock_Inicial = 0 (edítelo si ya tiene inventario).</t>
  </si>
  <si>
    <t>• Marcas: relación Suministro↔Marca (edite para reemplazar las marcas genéricas).</t>
  </si>
  <si>
    <t>• Equipos: 206 transformadores (Zona, Depto, Subestación, Matrícula, Potencia KVA).</t>
  </si>
  <si>
    <t>• Movimientos: bitácora. EMPIEZA VACÍA. Se alimenta desde Entrega.</t>
  </si>
  <si>
    <t>• Entrega: formulario para registrar un INGRESO o EGRESO.</t>
  </si>
  <si>
    <t>• Dashboard: KPIs, gráficos, filtros.</t>
  </si>
  <si>
    <t>3. FLUJO DEL FORMULARIO (hoja Entrega)</t>
  </si>
  <si>
    <t>• C6 Tipo: INGRESO o EGRESO.</t>
  </si>
  <si>
    <t>• C7 Usuario.</t>
  </si>
  <si>
    <t>• F6 Año: 2023 / 2024 / 2025 / 2026 (único campo de fecha).</t>
  </si>
  <si>
    <t>• C13 Zona / C14 Depto / C15 Subestación / C16 Matrícula: escoja cualquiera → los demás se auto-completan (con el botón azul o al instante si instaló el evento VBA).</t>
  </si>
  <si>
    <t>• C19 Suministro, C21 Marca, C22 Cantidad.</t>
  </si>
  <si>
    <t>• Botón rojo CONFIRMAR MOVIMIENTO → registra en la bitácora.</t>
  </si>
  <si>
    <t>4. INSTALACIÓN DE MACROS (una sola vez)</t>
  </si>
  <si>
    <t>• Abrir el .xlsm. Barra amarilla → 'Habilitar contenido'.</t>
  </si>
  <si>
    <t>• ALT+F11 (Windows) u OPCIÓN+F11 (Mac) para abrir el editor VBA.</t>
  </si>
  <si>
    <t>• Archivo → Importar archivo → 'Modulo_VBA_Gestion.bas'.</t>
  </si>
  <si>
    <t>• Cerrar editor (ALT+Q) y guardar (Ctrl+S).</t>
  </si>
  <si>
    <t>• En hoja Entrega: clic derecho en cada botón → Asignar macro:</t>
  </si>
  <si>
    <t xml:space="preserve">      Botón rojo 'CONFIRMAR MOVIMIENTO' → ConfirmarMovimiento</t>
  </si>
  <si>
    <t xml:space="preserve">      Botón azul 'AUTO-COMPLETAR EQUIPO' → AutoCompletarManual</t>
  </si>
  <si>
    <t xml:space="preserve">      Botón morado 'REINICIAR STOCK' → ReiniciarStock</t>
  </si>
  <si>
    <t>5. OPCIONAL — AUTOCOMPLETADO EN TIEMPO REAL (sin botón)</t>
  </si>
  <si>
    <t xml:space="preserve">Si prefiere que las celdas C13-C16 se auto-completen al instante cuando escoja un valor, </t>
  </si>
  <si>
    <t>pegue estas 5 líneas en el objeto 'ThisWorkbook' (doble clic sobre él en el editor VBA):</t>
  </si>
  <si>
    <t>Private Sub Workbook_SheetChange(ByVal Sh As Object, ByVal Target As Range)</t>
  </si>
  <si>
    <t xml:space="preserve">    If Sh.Name = "Entrega" Then AutoCompletarEquipo Target</t>
  </si>
  <si>
    <t>End Sub</t>
  </si>
  <si>
    <t>Sin este paso, el botón azul AUTO-COMPLETAR funciona igual, solo que con un clic manual.</t>
  </si>
  <si>
    <t>CATÁLOGO DE SUMINISTROS — 22 ITEMS</t>
  </si>
  <si>
    <t>ID</t>
  </si>
  <si>
    <t>Nombre</t>
  </si>
  <si>
    <t>Unidad</t>
  </si>
  <si>
    <t>Stock_Inicial</t>
  </si>
  <si>
    <t>Total_Ingresado</t>
  </si>
  <si>
    <t>Total_Egresado</t>
  </si>
  <si>
    <t>Stock_Actual</t>
  </si>
  <si>
    <t>Alerta</t>
  </si>
  <si>
    <t>Marcas_Disponibles</t>
  </si>
  <si>
    <t>S01</t>
  </si>
  <si>
    <t>m</t>
  </si>
  <si>
    <t>(edite)</t>
  </si>
  <si>
    <t>S02</t>
  </si>
  <si>
    <t>Und</t>
  </si>
  <si>
    <t>ZIEHL ABEGG</t>
  </si>
  <si>
    <t>S03</t>
  </si>
  <si>
    <t>S04</t>
  </si>
  <si>
    <t>S05</t>
  </si>
  <si>
    <t>S06</t>
  </si>
  <si>
    <t>mts</t>
  </si>
  <si>
    <t>S07</t>
  </si>
  <si>
    <t>MESSKO</t>
  </si>
  <si>
    <t>S08</t>
  </si>
  <si>
    <t>Kg</t>
  </si>
  <si>
    <t>S09</t>
  </si>
  <si>
    <t>CEDASPE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</si>
  <si>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</si>
  <si>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</si>
  <si>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</si>
  <si>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</si>
  <si>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</si>
  <si>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</si>
  <si>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</si>
  <si>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</si>
  <si>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</si>
  <si>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</si>
  <si>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</si>
  <si>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</si>
  <si>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</si>
  <si>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RELACIÓN SUMINISTRO ↔ MARCA (editable)</t>
  </si>
  <si>
    <t>ID_Suministro</t>
  </si>
  <si>
    <t>Nombre_Suministro</t>
  </si>
  <si>
    <t>Marca</t>
  </si>
  <si>
    <t>EQUIPOS — 206 TRANSFORMADORES</t>
  </si>
  <si>
    <t>Equipo_ID</t>
  </si>
  <si>
    <t>Descripcion</t>
  </si>
  <si>
    <t>Zona</t>
  </si>
  <si>
    <t>Departamento</t>
  </si>
  <si>
    <t>Subestacion</t>
  </si>
  <si>
    <t>Matricula</t>
  </si>
  <si>
    <t>Potencia_KVA</t>
  </si>
  <si>
    <t>Grupo</t>
  </si>
  <si>
    <t>Display</t>
  </si>
  <si>
    <t>T1-M/M-ABA</t>
  </si>
  <si>
    <t>Transformador 2000 KVA - AGUAS BLANCAS</t>
  </si>
  <si>
    <t>ORIENTE</t>
  </si>
  <si>
    <t>CESAR</t>
  </si>
  <si>
    <t>AGUAS BLANCAS</t>
  </si>
  <si>
    <t>G1</t>
  </si>
  <si>
    <t>T1-M/M-ABA | AGUAS BLANCAS | ORIENTE</t>
  </si>
  <si>
    <t>T1-A/M-AGB</t>
  </si>
  <si>
    <t>Transformador 6500 KVA - ALGARROBO</t>
  </si>
  <si>
    <t>MAGDALENA</t>
  </si>
  <si>
    <t>ALGARROBO</t>
  </si>
  <si>
    <t>T1-A/M-AGB | ALGARROBO | ORIENTE</t>
  </si>
  <si>
    <t>T1-M/M-ANB</t>
  </si>
  <si>
    <t>Transformador 500 KVA - ANIMAS BAJAS</t>
  </si>
  <si>
    <t>BOLIVAR</t>
  </si>
  <si>
    <t>ANIMAS BAJAS</t>
  </si>
  <si>
    <t>T1-M/M-ANB | ANIMAS BAJAS | BOLIVAR</t>
  </si>
  <si>
    <t>T1-M/M-ARN</t>
  </si>
  <si>
    <t>Transformador 2000 KVA - ARIGUANI</t>
  </si>
  <si>
    <t>ARIGUANI</t>
  </si>
  <si>
    <t>T1-M/M-ARN | ARIGUANI | ORIENTE</t>
  </si>
  <si>
    <t>T1-M/M-ARJ</t>
  </si>
  <si>
    <t>Transformador 2500 KVA - ARJONA</t>
  </si>
  <si>
    <t>ARJONA</t>
  </si>
  <si>
    <t>T1-M/M-ARJ | ARJONA | ORIENTE</t>
  </si>
  <si>
    <t>T1-M/M-AST</t>
  </si>
  <si>
    <t>Transformador 10000 KVA - ASTREA</t>
  </si>
  <si>
    <t>ASTREA</t>
  </si>
  <si>
    <t>T1-M/M-AST | ASTREA | ORIENTE</t>
  </si>
  <si>
    <t>T1-M/M-AYAR</t>
  </si>
  <si>
    <t>Transformador 6500 KVA - AYAPEL</t>
  </si>
  <si>
    <t>OCCIDENTE</t>
  </si>
  <si>
    <t>CORDOBA</t>
  </si>
  <si>
    <t>AYAPEL</t>
  </si>
  <si>
    <t>T1-M/M-AYAR | AYAPEL | OCCIDENTE</t>
  </si>
  <si>
    <t>T1-M/M-BDL</t>
  </si>
  <si>
    <t>Transformador 6000 KVA - BARRANCO DE LOBA</t>
  </si>
  <si>
    <t>BARRANCO DE LOBA</t>
  </si>
  <si>
    <t>T1-M/M-BDL | BARRANCO DE LOBA | ORIENTE</t>
  </si>
  <si>
    <t>T1A-A/M-BYC</t>
  </si>
  <si>
    <t>Transformador 60000 KVA - BAYUNCA</t>
  </si>
  <si>
    <t>BAYUNCA</t>
  </si>
  <si>
    <t>G3</t>
  </si>
  <si>
    <t>T1A-A/M-BYC | BAYUNCA | BOLIVAR</t>
  </si>
  <si>
    <t>T1-M/M-BEC</t>
  </si>
  <si>
    <t>Transformador 6500 KVA - BECERRIL</t>
  </si>
  <si>
    <t>BECERRIL</t>
  </si>
  <si>
    <t>T1-M/M-BEC | BECERRIL | ORIENTE</t>
  </si>
  <si>
    <t>T1-M/M-BER</t>
  </si>
  <si>
    <t>Transformador 6500 KVA - BERRUGAS</t>
  </si>
  <si>
    <t>SUCRE</t>
  </si>
  <si>
    <t>BERRUGAS</t>
  </si>
  <si>
    <t>T1-M/M-BER | BERRUGAS | OCCIDENTE</t>
  </si>
  <si>
    <t>T1-A/M-BCG</t>
  </si>
  <si>
    <t>Transformador 33000 KVA - BOCAGRANDE</t>
  </si>
  <si>
    <t>BOCAGRANDE</t>
  </si>
  <si>
    <t>G2</t>
  </si>
  <si>
    <t>T1-A/M-BCG | BOCAGRANDE | BOLIVAR</t>
  </si>
  <si>
    <t>T2-A/M-BCG</t>
  </si>
  <si>
    <t>T2-A/M-BCG | BOCAGRANDE | BOLIVAR</t>
  </si>
  <si>
    <t>T1-M/M-BOU</t>
  </si>
  <si>
    <t>Transformador 3000 KVA - BOCAS DE URE</t>
  </si>
  <si>
    <t>BOCAS DE URE</t>
  </si>
  <si>
    <t>T1-M/M-BOU | BOCAS DE URE | OCCIDENTE</t>
  </si>
  <si>
    <t>T1-M/M-BOA</t>
  </si>
  <si>
    <t>Transformador 14000 KVA - BOSCONIA</t>
  </si>
  <si>
    <t>BOSCONIA</t>
  </si>
  <si>
    <t>T1-M/M-BOA | BOSCONIA | ORIENTE</t>
  </si>
  <si>
    <t>T1-A/M-BQE</t>
  </si>
  <si>
    <t>Transformador 33000 KVA - BOSQUE</t>
  </si>
  <si>
    <t>BOSQUE</t>
  </si>
  <si>
    <t>T1-A/M-BQE | BOSQUE | BOLIVAR</t>
  </si>
  <si>
    <t>T2-A/M-BQE</t>
  </si>
  <si>
    <t>Transformador 40000 KVA - BOSQUE</t>
  </si>
  <si>
    <t>T2-A/M-BQE | BOSQUE | BOLIVAR</t>
  </si>
  <si>
    <t>T3-A/M-BQE</t>
  </si>
  <si>
    <t>Transformador 30000 KVA - BOSQUE</t>
  </si>
  <si>
    <t>T3-A/M-BQE | BOSQUE | BOLIVAR</t>
  </si>
  <si>
    <t>T4-A/M-BQE</t>
  </si>
  <si>
    <t>Transformador 150000 KVA - BOSQUE</t>
  </si>
  <si>
    <t>T4-A/M-BQE | BOSQUE | BOLIVAR</t>
  </si>
  <si>
    <t>T1A-A/M-BST</t>
  </si>
  <si>
    <t>Transformador 60000 KVA - BOSTON</t>
  </si>
  <si>
    <t>BOSTON</t>
  </si>
  <si>
    <t>T1A-A/M-BST | BOSTON | OCCIDENTE</t>
  </si>
  <si>
    <t>T1-M/M-BUE</t>
  </si>
  <si>
    <t>Transformador 5000 KVA - BUENAVISTA</t>
  </si>
  <si>
    <t>BUENAVISTA</t>
  </si>
  <si>
    <t>T1-M/M-BUE | BUENAVISTA | OCCIDENTE</t>
  </si>
  <si>
    <t>T1A-A/M-CMR</t>
  </si>
  <si>
    <t>Transformador 12000 KVA - CALAMAR</t>
  </si>
  <si>
    <t>CALAMAR</t>
  </si>
  <si>
    <t>T1A-A/M-CMR | CALAMAR | BOLIVAR</t>
  </si>
  <si>
    <t>T2A-A/M-CMR</t>
  </si>
  <si>
    <t>T2A-A/M-CMR | CALAMAR | BOLIVAR</t>
  </si>
  <si>
    <t>T-KDR04</t>
  </si>
  <si>
    <t>Transformador 100000 KVA - CANDELARIA</t>
  </si>
  <si>
    <t>CANDELARIA</t>
  </si>
  <si>
    <t>T-KDR04 | CANDELARIA | BOLIVAR</t>
  </si>
  <si>
    <t>T-KDR05</t>
  </si>
  <si>
    <t>Transformador 150000 KVA - CANDELARIA</t>
  </si>
  <si>
    <t>T-KDR05 | CANDELARIA | BOLIVAR</t>
  </si>
  <si>
    <t>T-KDR06</t>
  </si>
  <si>
    <t>Transformador 30000 KVA - CANDELARIA</t>
  </si>
  <si>
    <t>T-KDR06 | CANDELARIA | BOLIVAR</t>
  </si>
  <si>
    <t>T1-M/M-CNB</t>
  </si>
  <si>
    <t>Transformador 2000 KVA - CAÑABRAVAL</t>
  </si>
  <si>
    <t>CAÑABRAVAL</t>
  </si>
  <si>
    <t>T1-M/M-CNB | CAÑABRAVAL | BOLIVAR</t>
  </si>
  <si>
    <t>T1-M/M-CAC</t>
  </si>
  <si>
    <t>Transformador 2000 KVA - CASA DE ZINC</t>
  </si>
  <si>
    <t>CASA DE ZINC</t>
  </si>
  <si>
    <t>T1-M/M-CAC | CASA DE ZINC | ORIENTE</t>
  </si>
  <si>
    <t>Transformador 5000 KVA - CASACARA</t>
  </si>
  <si>
    <t>CASACARA</t>
  </si>
  <si>
    <t>T1-M/M-CAC | CASACARA | ORIENTE</t>
  </si>
  <si>
    <t>T1-M/M-CTA</t>
  </si>
  <si>
    <t>Transformador 2000 KVA - CENTRO ALEGRE</t>
  </si>
  <si>
    <t>CENTRO ALEGRE</t>
  </si>
  <si>
    <t>T1-M/M-CTA | CENTRO ALEGRE | OCCIDENTE</t>
  </si>
  <si>
    <t>T1-M/M-CER</t>
  </si>
  <si>
    <t>Transformador 20000 KVA - CERETE</t>
  </si>
  <si>
    <t>CERETE</t>
  </si>
  <si>
    <t>T1-M/M-CER | CERETE | OCCIDENTE</t>
  </si>
  <si>
    <t>T2-M/M-CER</t>
  </si>
  <si>
    <t>Transformador 15000 KVA - CERETE</t>
  </si>
  <si>
    <t>T2-M/M-CER | CERETE | OCCIDENTE</t>
  </si>
  <si>
    <t>T3-M/M-CER</t>
  </si>
  <si>
    <t>Transformador 30000 KVA - CERETE</t>
  </si>
  <si>
    <t>T3-M/M-CER | CERETE | OCCIDENTE</t>
  </si>
  <si>
    <t>T4-M/M-CER</t>
  </si>
  <si>
    <t>T4-M/M-CER | CERETE | OCCIDENTE</t>
  </si>
  <si>
    <t>T1-A/M-CMB</t>
  </si>
  <si>
    <t>Transformador 50000 KVA - CHAMBACU</t>
  </si>
  <si>
    <t>CHAMBACU</t>
  </si>
  <si>
    <t>T1-A/M-CMB | CHAMBACU | BOLIVAR</t>
  </si>
  <si>
    <t>T2-A/M-CMB</t>
  </si>
  <si>
    <t>T2-A/M-CMB | CHAMBACU | BOLIVAR</t>
  </si>
  <si>
    <t>T1-A/M-CPA</t>
  </si>
  <si>
    <t>Transformador 20000 KVA - CHINU PLANTA</t>
  </si>
  <si>
    <t>CHINU PLANTA</t>
  </si>
  <si>
    <t>T1-A/M-CPA | CHINU PLANTA | OCCIDENTE</t>
  </si>
  <si>
    <t>T2-A/M-CPA</t>
  </si>
  <si>
    <t>Transformador 60000 KVA - CHINU PLANTA</t>
  </si>
  <si>
    <t>T2-A/M-CPA | CHINU PLANTA | OCCIDENTE</t>
  </si>
  <si>
    <t>T3-A/M-CPA</t>
  </si>
  <si>
    <t>T3-A/M-CPA | CHINU PLANTA | OCCIDENTE</t>
  </si>
  <si>
    <t>T1-M/M-CHG</t>
  </si>
  <si>
    <t>Transformador 12500 KVA - CHIRIGUANA</t>
  </si>
  <si>
    <t>CHIRIGUANA</t>
  </si>
  <si>
    <t>T1-M/M-CHG | CHIRIGUANA | ORIENTE</t>
  </si>
  <si>
    <t>T1-M/M-CIR</t>
  </si>
  <si>
    <t>Transformador 6500 KVA - CIENAGA DE ORO</t>
  </si>
  <si>
    <t>CIENAGA DE ORO</t>
  </si>
  <si>
    <t>T1-M/M-CIR | CIENAGA DE ORO | OCCIDENTE</t>
  </si>
  <si>
    <t>T2-M/M-CIR</t>
  </si>
  <si>
    <t>T2-M/M-CIR | CIENAGA DE ORO | OCCIDENTE</t>
  </si>
  <si>
    <t>T1A-A/M-COZ</t>
  </si>
  <si>
    <t>Transformador 25000 KVA - CODAZZI</t>
  </si>
  <si>
    <t>CODAZZI</t>
  </si>
  <si>
    <t>T1A-A/M-COZ | CODAZZI | ORIENTE</t>
  </si>
  <si>
    <t>T2A-A/M-COZ</t>
  </si>
  <si>
    <t>T2A-A/M-COZ | CODAZZI | ORIENTE</t>
  </si>
  <si>
    <t>T1-M/M-CBY</t>
  </si>
  <si>
    <t>Transformador 2500 KVA - COLOMBOY</t>
  </si>
  <si>
    <t>COLOMBOY</t>
  </si>
  <si>
    <t>T1-M/M-CBY | COLOMBOY | OCCIDENTE</t>
  </si>
  <si>
    <t>T1-M/M-COR</t>
  </si>
  <si>
    <t>Transformador 12500 KVA - COROZAL</t>
  </si>
  <si>
    <t>COROZAL</t>
  </si>
  <si>
    <t>T1-M/M-COR | COROZAL | OCCIDENTE</t>
  </si>
  <si>
    <t>T2-M/M-COR</t>
  </si>
  <si>
    <t>T2-M/M-COR | COROZAL | OCCIDENTE</t>
  </si>
  <si>
    <t>T1-A/M-COS</t>
  </si>
  <si>
    <t>Transformador 20000 KVA - COSPIQUE</t>
  </si>
  <si>
    <t>COSPIQUE</t>
  </si>
  <si>
    <t>T1-A/M-COS | COSPIQUE | BOLIVAR</t>
  </si>
  <si>
    <t>T1-M/M-CRR</t>
  </si>
  <si>
    <t>Transformador 4000 KVA - COTORRA</t>
  </si>
  <si>
    <t>COTORRA</t>
  </si>
  <si>
    <t>T1-M/M-CRR | COTORRA | OCCIDENTE</t>
  </si>
  <si>
    <t>T2-M/M-CRR</t>
  </si>
  <si>
    <t>T2-M/M-CRR | COTORRA | OCCIDENTE</t>
  </si>
  <si>
    <t>T1-M/M-COV</t>
  </si>
  <si>
    <t>Transformador 60000 KVA - COVEÑAS</t>
  </si>
  <si>
    <t>COVEÑAS</t>
  </si>
  <si>
    <t>T1-M/M-COV | COVEÑAS | OCCIDENTE</t>
  </si>
  <si>
    <t>T2-M/M-COV</t>
  </si>
  <si>
    <t>Transformador 14000 KVA - COVEÑAS</t>
  </si>
  <si>
    <t>T2-M/M-COV | COVEÑAS | OCCIDENTE</t>
  </si>
  <si>
    <t>T3-M/M-COV</t>
  </si>
  <si>
    <t>T3-M/M-COV | COVEÑAS | OCCIDENTE</t>
  </si>
  <si>
    <t>T1-M/M-CVA</t>
  </si>
  <si>
    <t>Transformador 225 KVA - CUIVA</t>
  </si>
  <si>
    <t>CUIVA</t>
  </si>
  <si>
    <t>T1-M/M-CVA | CUIVA | OCCIDENTE</t>
  </si>
  <si>
    <t>T1-M/M-CUR</t>
  </si>
  <si>
    <t>Transformador 6500 KVA - CURUMANÍ</t>
  </si>
  <si>
    <t>CURUMANÍ</t>
  </si>
  <si>
    <t>T1-M/M-CUR | CURUMANÍ | ORIENTE</t>
  </si>
  <si>
    <t>T2-M/M-CUR</t>
  </si>
  <si>
    <t>Transformador 4000 KVA - CURUMANÍ</t>
  </si>
  <si>
    <t>T2-M/M-CUR | CURUMANÍ | ORIENTE</t>
  </si>
  <si>
    <t>T1A-M/M-EBA</t>
  </si>
  <si>
    <t>Transformador 60000 KVA - EL BANCO</t>
  </si>
  <si>
    <t>EL BANCO</t>
  </si>
  <si>
    <t>T1A-M/M-EBA | EL BANCO | ORIENTE</t>
  </si>
  <si>
    <t>T2A-A/M-EBA</t>
  </si>
  <si>
    <t>Transformador 14000 KVA - EL BANCO</t>
  </si>
  <si>
    <t>T2A-A/M-EBA | EL BANCO | ORIENTE</t>
  </si>
  <si>
    <t>T1-M/M-BTE</t>
  </si>
  <si>
    <t>Transformador 4000 KVA - EL BRILLANTE</t>
  </si>
  <si>
    <t>EL BRILLANTE</t>
  </si>
  <si>
    <t>T1-M/M-BTE | EL BRILLANTE | OCCIDENTE</t>
  </si>
  <si>
    <t>T1A-A/M-EBU</t>
  </si>
  <si>
    <t>Transformador 3000 KVA - EL BURRO</t>
  </si>
  <si>
    <t>EL BURRO</t>
  </si>
  <si>
    <t>T1A-A/M-EBU | EL BURRO | ORIENTE</t>
  </si>
  <si>
    <t>T1A-A/A-ECA</t>
  </si>
  <si>
    <t>Transformador 60000 KVA - EL CARMEN</t>
  </si>
  <si>
    <t>EL CARMEN</t>
  </si>
  <si>
    <t>T1A-A/A-ECA | EL CARMEN | BOLIVAR</t>
  </si>
  <si>
    <t>T2A-A/A-ECA</t>
  </si>
  <si>
    <t>T2A-A/A-ECA | EL CARMEN | BOLIVAR</t>
  </si>
  <si>
    <t>T1-M/M-ECJ</t>
  </si>
  <si>
    <t>Transformador 25000 KVA - EL CORTIJO</t>
  </si>
  <si>
    <t>EL CORTIJO</t>
  </si>
  <si>
    <t>T1-M/M-ECJ | EL CORTIJO | OCCIDENTE</t>
  </si>
  <si>
    <t>T2-M/M-ECJ</t>
  </si>
  <si>
    <t>T2-M/M-ECJ | EL CORTIJO | OCCIDENTE</t>
  </si>
  <si>
    <t>T1-M/M-EDE</t>
  </si>
  <si>
    <t>Transformador 2000 KVA - EL DESASTRE</t>
  </si>
  <si>
    <t>EL DESASTRE</t>
  </si>
  <si>
    <t>T1-M/M-EDE | EL DESASTRE | ORIENTE</t>
  </si>
  <si>
    <t>T1-M/M-EDF</t>
  </si>
  <si>
    <t>Transformador 6500 KVA - EL DIFICIL</t>
  </si>
  <si>
    <t>EL DIFICIL</t>
  </si>
  <si>
    <t>T1-M/M-EDF | EL DIFICIL | ORIENTE</t>
  </si>
  <si>
    <t>T1-M/M-PAR</t>
  </si>
  <si>
    <t>Transformador 500 KVA - EL PARAISO</t>
  </si>
  <si>
    <t>EL PARAISO</t>
  </si>
  <si>
    <t>T1-M/M-PAR | EL PARAISO | ORIENTE</t>
  </si>
  <si>
    <t>T2-M/M-PAR</t>
  </si>
  <si>
    <t>T2-M/M-PAR | EL PARAISO | ORIENTE</t>
  </si>
  <si>
    <t>T1A-A/M-EPA</t>
  </si>
  <si>
    <t>Transformador 50000 KVA - EL PASO</t>
  </si>
  <si>
    <t>EL PASO</t>
  </si>
  <si>
    <t>T1A-A/M-EPA | EL PASO | ORIENTE</t>
  </si>
  <si>
    <t>T1-M/M-EVJ</t>
  </si>
  <si>
    <t>Transformador 2500 KVA - EL VIAJANO</t>
  </si>
  <si>
    <t>EL VIAJANO</t>
  </si>
  <si>
    <t>T1-M/M-EVJ | EL VIAJANO | OCCIDENTE</t>
  </si>
  <si>
    <t>T1-M/M-FRR</t>
  </si>
  <si>
    <t>Transformador 1000 KVA - FERROCARRIL</t>
  </si>
  <si>
    <t>FERROCARRIL</t>
  </si>
  <si>
    <t>T1-M/M-FRR | FERROCARRIL | ORIENTE</t>
  </si>
  <si>
    <t>T1-M/M-GAL</t>
  </si>
  <si>
    <t>Transformador 6500 KVA - GALERAS</t>
  </si>
  <si>
    <t>GALERAS</t>
  </si>
  <si>
    <t>T1-M/M-GAL | GALERAS | OCCIDENTE</t>
  </si>
  <si>
    <t>T1-A/M-GBT</t>
  </si>
  <si>
    <t>Transformador 20000 KVA - GAMBOTE</t>
  </si>
  <si>
    <t>GAMBOTE</t>
  </si>
  <si>
    <t>T1-A/M-GBT | GAMBOTE | BOLIVAR</t>
  </si>
  <si>
    <t>T2-A/M-GBT</t>
  </si>
  <si>
    <t>T2-A/M-GBT | GAMBOTE | BOLIVAR</t>
  </si>
  <si>
    <t>T3-A/M-GBT</t>
  </si>
  <si>
    <t>Transformador 30000 KVA - GAMBOTE</t>
  </si>
  <si>
    <t>T3-A/M-GBT | GAMBOTE | BOLIVAR</t>
  </si>
  <si>
    <t>T1-M/M-GUM</t>
  </si>
  <si>
    <t>Transformador 6000 KVA - GUAMAL</t>
  </si>
  <si>
    <t>GUAMAL</t>
  </si>
  <si>
    <t>T1-M/M-GUM | GUAMAL | ORIENTE</t>
  </si>
  <si>
    <t>T1-M/M-GRA</t>
  </si>
  <si>
    <t>Transformador 12500 KVA - GUARANDA</t>
  </si>
  <si>
    <t>GUARANDA</t>
  </si>
  <si>
    <t>T1-M/M-GRA | GUARANDA | OCCIDENTE</t>
  </si>
  <si>
    <t>T1-M/M-GUP</t>
  </si>
  <si>
    <t>Transformador 30000 KVA - GUATAPURI</t>
  </si>
  <si>
    <t>GUATAPURI</t>
  </si>
  <si>
    <t>T1-M/M-GUP | GUATAPURI | ORIENTE</t>
  </si>
  <si>
    <t>T2-M/M-GUP</t>
  </si>
  <si>
    <t>T2-M/M-GUP | GUATAPURI | ORIENTE</t>
  </si>
  <si>
    <t>T3-M/M-GUP</t>
  </si>
  <si>
    <t>Transformador 7875 KVA - GUATAPURI</t>
  </si>
  <si>
    <t>T3-M/M-GUP | GUATAPURI | ORIENTE</t>
  </si>
  <si>
    <t>T1-M/M-HDL</t>
  </si>
  <si>
    <t>Transformador 5000 KVA - HATILLO DE LOBA</t>
  </si>
  <si>
    <t>HATILLO DE LOBA</t>
  </si>
  <si>
    <t>T1-M/M-HDL | HATILLO DE LOBA | ORIENTE</t>
  </si>
  <si>
    <t>T1-M/M-LPR</t>
  </si>
  <si>
    <t>Transformador 6500 KVA - LA APARTADA</t>
  </si>
  <si>
    <t>LA APARTADA</t>
  </si>
  <si>
    <t>T1-M/M-LPR | LA APARTADA | OCCIDENTE</t>
  </si>
  <si>
    <t>T1-M/M-LAR</t>
  </si>
  <si>
    <t>Transformador 2300 KVA - LA AURORA</t>
  </si>
  <si>
    <t>LA AURORA</t>
  </si>
  <si>
    <t>T1-M/M-LAR | LA AURORA | ORIENTE</t>
  </si>
  <si>
    <t>T1-M/M-LEA</t>
  </si>
  <si>
    <t>Transformador 1600 KVA - LA EUROPA</t>
  </si>
  <si>
    <t>LA EUROPA</t>
  </si>
  <si>
    <t>T1-M/M-LEA | LA EUROPA | ORIENTE</t>
  </si>
  <si>
    <t>T1A-A/M-LJA</t>
  </si>
  <si>
    <t>Transformador 30000 KVA - LA JAGUA</t>
  </si>
  <si>
    <t>LA JAGUA</t>
  </si>
  <si>
    <t>T1A-A/M-LJA | LA JAGUA | ORIENTE</t>
  </si>
  <si>
    <t>T2A-A/M-LJA</t>
  </si>
  <si>
    <t>T2A-A/M-LJA | LA JAGUA | ORIENTE</t>
  </si>
  <si>
    <t>T1A-A/M-LMJ</t>
  </si>
  <si>
    <t>Transformador 30000 KVA - LA MOJANA</t>
  </si>
  <si>
    <t>LA MOJANA</t>
  </si>
  <si>
    <t>T1A-A/M-LMJ | LA MOJANA | OCCIDENTE</t>
  </si>
  <si>
    <t>T1-M/M-LPZ</t>
  </si>
  <si>
    <t>Transformador 12500 KVA - LA PAZ</t>
  </si>
  <si>
    <t>LA PAZ</t>
  </si>
  <si>
    <t>T1-M/M-LPZ | LA PAZ | ORIENTE</t>
  </si>
  <si>
    <t>T1-M/M-SLV</t>
  </si>
  <si>
    <t>Transformador 12500 KVA - LA SALVACION</t>
  </si>
  <si>
    <t>LA SALVACION</t>
  </si>
  <si>
    <t>T1-M/M-SLV | LA SALVACION | ORIENTE</t>
  </si>
  <si>
    <t>T1-M/M-UNN</t>
  </si>
  <si>
    <t>Transformador 4000 KVA - LA UNION</t>
  </si>
  <si>
    <t>LA UNION</t>
  </si>
  <si>
    <t>T1-M/M-UNN | LA UNION | OCCIDENTE</t>
  </si>
  <si>
    <t>T1-M/M-LYE</t>
  </si>
  <si>
    <t>Transformador 2500 KVA - LA YE</t>
  </si>
  <si>
    <t>LA YE</t>
  </si>
  <si>
    <t>T1-M/M-LYE | LA YE | OCCIDENTE</t>
  </si>
  <si>
    <t>T1-M/M-LDE</t>
  </si>
  <si>
    <t>Transformador 2500 KVA - LAS DELICIAS</t>
  </si>
  <si>
    <t>LAS DELICIAS</t>
  </si>
  <si>
    <t>T1-M/M-LDE | LAS DELICIAS | OCCIDENTE</t>
  </si>
  <si>
    <t>T1-M/M-LPS</t>
  </si>
  <si>
    <t>Transformador 1000 KVA - LAS PALOMAS</t>
  </si>
  <si>
    <t>LAS PALOMAS</t>
  </si>
  <si>
    <t>T1-M/M-LPS | LAS PALOMAS | OCCIDENTE</t>
  </si>
  <si>
    <t>T1-M/M-LLC</t>
  </si>
  <si>
    <t>Transformador 1000 KVA - LLERASCA</t>
  </si>
  <si>
    <t>LLERASCA</t>
  </si>
  <si>
    <t>T1-M/M-LLC | LLERASCA | ORIENTE</t>
  </si>
  <si>
    <t>T1-M/M-LBS</t>
  </si>
  <si>
    <t>Transformador 2300 KVA - LOMA DEL BALSAMO</t>
  </si>
  <si>
    <t>LOMA DEL BALSAMO</t>
  </si>
  <si>
    <t>T1-M/M-LBS | LOMA DEL BALSAMO | ORIENTE</t>
  </si>
  <si>
    <t>T1-M/M-LOR</t>
  </si>
  <si>
    <t>Transformador 20000 KVA - LORICA</t>
  </si>
  <si>
    <t>LORICA</t>
  </si>
  <si>
    <t>T1-M/M-LOR | LORICA | OCCIDENTE</t>
  </si>
  <si>
    <t>T2-M/M-LOR</t>
  </si>
  <si>
    <t>T2-M/M-LOR | LORICA | OCCIDENTE</t>
  </si>
  <si>
    <t>T1-M/M-LCB</t>
  </si>
  <si>
    <t>Transformador 2500 KVA - LOS CORDOBAS</t>
  </si>
  <si>
    <t>LOS CORDOBAS</t>
  </si>
  <si>
    <t>T1-M/M-LCB | LOS CORDOBAS | OCCIDENTE</t>
  </si>
  <si>
    <t>T1A-A/M-MGE</t>
  </si>
  <si>
    <t>Transformador 33000 KVA - MAGANGUE</t>
  </si>
  <si>
    <t>MAGANGUE</t>
  </si>
  <si>
    <t>T1A-A/M-MGE | MAGANGUE | BOLIVAR</t>
  </si>
  <si>
    <t>T2A-A/M-MGE</t>
  </si>
  <si>
    <t>Transformador 45000 KVA - MAGANGUE</t>
  </si>
  <si>
    <t>T2A-A/M-MGE | MAGANGUE | BOLIVAR</t>
  </si>
  <si>
    <t>T1-M/M-MAJ</t>
  </si>
  <si>
    <t>Transformador 5000 KVA - MAJAGUAL</t>
  </si>
  <si>
    <t>MAJAGUAL</t>
  </si>
  <si>
    <t>T1-M/M-MAJ | MAJAGUAL | OCCIDENTE</t>
  </si>
  <si>
    <t>T2-M/M-MAJ</t>
  </si>
  <si>
    <t>T2-M/M-MAJ | MAJAGUAL | OCCIDENTE</t>
  </si>
  <si>
    <t>T1-A/M-MAM</t>
  </si>
  <si>
    <t>Transformador 33000 KVA - MAMONAL</t>
  </si>
  <si>
    <t>MAMONAL</t>
  </si>
  <si>
    <t>T1-A/M-MAM | MAMONAL | BOLIVAR</t>
  </si>
  <si>
    <t>T2-A/M-MAM</t>
  </si>
  <si>
    <t>T2-A/M-MAM | MAMONAL | BOLIVAR</t>
  </si>
  <si>
    <t>T1-M/M-MNC</t>
  </si>
  <si>
    <t>Transformador 3000 KVA - MANAURE BALCON DEL CESAR</t>
  </si>
  <si>
    <t>MANAURE BALCON DEL CESAR</t>
  </si>
  <si>
    <t>T1-M/M-MNC | MANAURE BALCON DEL CESAR | ORIENTE</t>
  </si>
  <si>
    <t>T1-M/M-MAN</t>
  </si>
  <si>
    <t>Transformador 10000 KVA - MANDINGUILLA</t>
  </si>
  <si>
    <t>MANDINGUILLA</t>
  </si>
  <si>
    <t>T1-M/M-MAN | MANDINGUILLA | ORIENTE</t>
  </si>
  <si>
    <t>T3-A/M-MZN</t>
  </si>
  <si>
    <t>Transformador 30000 KVA - MANZANILLO</t>
  </si>
  <si>
    <t>MANZANILLO</t>
  </si>
  <si>
    <t>T3-A/M-MZN | MANZANILLO | BOLIVAR</t>
  </si>
  <si>
    <t>T4-A/M-MZN</t>
  </si>
  <si>
    <t>T4-A/M-MZN | MANZANILLO | BOLIVAR</t>
  </si>
  <si>
    <t>T1-M/M-MAY</t>
  </si>
  <si>
    <t>Transformador 2000 KVA - MARACAYO</t>
  </si>
  <si>
    <t>MARACAYO</t>
  </si>
  <si>
    <t>T1-M/M-MAY | MARACAYO | OCCIDENTE</t>
  </si>
  <si>
    <t>T1-M/M-MBJ</t>
  </si>
  <si>
    <t>Transformador 6500 KVA - MARIA LA BAJA</t>
  </si>
  <si>
    <t>MARIA LA BAJA</t>
  </si>
  <si>
    <t>T1-M/M-MBJ | MARIA LA BAJA | BOLIVAR</t>
  </si>
  <si>
    <t>T2-M/M-MBJ</t>
  </si>
  <si>
    <t>T2-M/M-MBJ | MARIA LA BAJA | BOLIVAR</t>
  </si>
  <si>
    <t>T1-M/M-MAR</t>
  </si>
  <si>
    <t>Transformador 2500 KVA - MARIANGOLA</t>
  </si>
  <si>
    <t>MARIANGOLA</t>
  </si>
  <si>
    <t>T1-M/M-MAR | MARIANGOLA | ORIENTE</t>
  </si>
  <si>
    <t>T1-M/M-MAT</t>
  </si>
  <si>
    <t>Transformador 500 KVA - MATA DE CAÑA</t>
  </si>
  <si>
    <t>MATA DE CAÑA</t>
  </si>
  <si>
    <t>T1-M/M-MAT | MATA DE CAÑA | ORIENTE</t>
  </si>
  <si>
    <t>T2-M/M-MAT</t>
  </si>
  <si>
    <t>T2-M/M-MAT | MATA DE CAÑA | ORIENTE</t>
  </si>
  <si>
    <t>T1-A/M-MBR</t>
  </si>
  <si>
    <t>Transformador 35000 KVA - MEMBRILLAL</t>
  </si>
  <si>
    <t>MEMBRILLAL</t>
  </si>
  <si>
    <t>T1-A/M-MBR | MEMBRILLAL | BOLIVAR</t>
  </si>
  <si>
    <t>T2-A/M-MBR</t>
  </si>
  <si>
    <t>Transformador 33000 KVA - MEMBRILLAL</t>
  </si>
  <si>
    <t>T2-A/M-MBR | MEMBRILLAL | BOLIVAR</t>
  </si>
  <si>
    <t>T1-M/M-MOM</t>
  </si>
  <si>
    <t>Transformador 6250 KVA - MOMIL</t>
  </si>
  <si>
    <t>MOMIL</t>
  </si>
  <si>
    <t>T1-M/M-MOM | MOMIL | OCCIDENTE</t>
  </si>
  <si>
    <t>T1A-A/M-MOX</t>
  </si>
  <si>
    <t>Transformador 45000 KVA - MOMPOX</t>
  </si>
  <si>
    <t>MOMPOX</t>
  </si>
  <si>
    <t>T1A-A/M-MOX | MOMPOX | BOLIVAR</t>
  </si>
  <si>
    <t>T1-M/M-MTB</t>
  </si>
  <si>
    <t>Transformador 15000 KVA - MONTELIBANO</t>
  </si>
  <si>
    <t>MONTELIBANO</t>
  </si>
  <si>
    <t>T1-M/M-MTB | MONTELIBANO | OCCIDENTE</t>
  </si>
  <si>
    <t>T2-M/M-MTB</t>
  </si>
  <si>
    <t>Transformador 4000 KVA - MONTELIBANO</t>
  </si>
  <si>
    <t>T2-M/M-MTB | MONTELIBANO | OCCIDENTE</t>
  </si>
  <si>
    <t>T1A-A/M-MON</t>
  </si>
  <si>
    <t>Transformador 40000 KVA - MONTERIA</t>
  </si>
  <si>
    <t>MONTERIA</t>
  </si>
  <si>
    <t>T1A-A/M-MON | MONTERIA | OCCIDENTE</t>
  </si>
  <si>
    <t>T2A-A/M-MON</t>
  </si>
  <si>
    <t>T2A-A/M-MON | MONTERIA | OCCIDENTE</t>
  </si>
  <si>
    <t>T1-M/M-MTE</t>
  </si>
  <si>
    <t>Transformador 2000 KVA - MONTERREY</t>
  </si>
  <si>
    <t>MONTERREY</t>
  </si>
  <si>
    <t>T1-M/M-MTE | MONTERREY | BOLIVAR</t>
  </si>
  <si>
    <t>T1-M/M-MNT</t>
  </si>
  <si>
    <t>Transformador 6500 KVA - MOÑITOS</t>
  </si>
  <si>
    <t>MOÑITOS</t>
  </si>
  <si>
    <t>T1-M/M-MNT | MOÑITOS | OCCIDENTE</t>
  </si>
  <si>
    <t>T1-A/M-NCO</t>
  </si>
  <si>
    <t>Transformador 50000 KVA - NUEVA COSPIQUE</t>
  </si>
  <si>
    <t>NUEVA COSPIQUE</t>
  </si>
  <si>
    <t>T1-A/M-NCO | NUEVA COSPIQUE | BOLIVAR</t>
  </si>
  <si>
    <t>T2-A/M-NCO</t>
  </si>
  <si>
    <t>T2-A/M-NCO | NUEVA COSPIQUE | BOLIVAR</t>
  </si>
  <si>
    <t>T3-A/M-NCO</t>
  </si>
  <si>
    <t>Transformador 20000 KVA - NUEVA COSPIQUE</t>
  </si>
  <si>
    <t>T3-A/M-NCO | NUEVA COSPIQUE | BOLIVAR</t>
  </si>
  <si>
    <t>T4-A/M-NCO</t>
  </si>
  <si>
    <t>Transformador 30000 KVA - NUEVA COSPIQUE</t>
  </si>
  <si>
    <t>T4-A/M-NCO | NUEVA COSPIQUE | BOLIVAR</t>
  </si>
  <si>
    <t>T1-M/M-NGR</t>
  </si>
  <si>
    <t>Transformador 6500 KVA - NUEVA GRANADA</t>
  </si>
  <si>
    <t>NUEVA GRANADA</t>
  </si>
  <si>
    <t>T1-M/M-NGR | NUEVA GRANADA | ORIENTE</t>
  </si>
  <si>
    <t>T1-A-M/M-NLLO</t>
  </si>
  <si>
    <t>Transformador 50000 KVA - NUEVA LA LOMA</t>
  </si>
  <si>
    <t>NUEVA LA LOMA</t>
  </si>
  <si>
    <t>T1-A-M/M-NLLO | NUEVA LA LOMA | ORIENTE</t>
  </si>
  <si>
    <t>T1A-A/M-NMON</t>
  </si>
  <si>
    <t>Transformador 50000 KVA - NUEVA MONTERIA</t>
  </si>
  <si>
    <t>NUEVA MONTERIA</t>
  </si>
  <si>
    <t>T1A-A/M-NMON | NUEVA MONTERIA | OCCIDENTE</t>
  </si>
  <si>
    <t>T1-M/M-OVE</t>
  </si>
  <si>
    <t>Transformador 5000 KVA - OVEJAS</t>
  </si>
  <si>
    <t>OVEJAS</t>
  </si>
  <si>
    <t>T1-M/M-OVE | OVEJAS | OCCIDENTE</t>
  </si>
  <si>
    <t>T2-M/M-OVE</t>
  </si>
  <si>
    <t>Transformador 2300 KVA - OVEJAS</t>
  </si>
  <si>
    <t>T2-M/M-OVE | OVEJAS | OCCIDENTE</t>
  </si>
  <si>
    <t>T1-M/M-PAI</t>
  </si>
  <si>
    <t>Transformador 6500 KVA - PAILITAS</t>
  </si>
  <si>
    <t>PAILITAS</t>
  </si>
  <si>
    <t>T1-M/M-PAI | PAILITAS | ORIENTE</t>
  </si>
  <si>
    <t>T1-M/M-PGU</t>
  </si>
  <si>
    <t>Transformador 5000 KVA - PANCEGUITAS</t>
  </si>
  <si>
    <t>PANCEGUITAS</t>
  </si>
  <si>
    <t>T1-M/M-PGU | PANCEGUITAS | BOLIVAR</t>
  </si>
  <si>
    <t>T1-A/M-PRC</t>
  </si>
  <si>
    <t>Transformador 50000 KVA - PLANETA RICA</t>
  </si>
  <si>
    <t>PLANETA RICA</t>
  </si>
  <si>
    <t>T1-A/M-PRC | PLANETA RICA | OCCIDENTE</t>
  </si>
  <si>
    <t>T1-M/M-PZL</t>
  </si>
  <si>
    <t>Transformador 1000 KVA - POZO AZUL</t>
  </si>
  <si>
    <t>POZO AZUL</t>
  </si>
  <si>
    <t>T1-M/M-PZL | POZO AZUL | BOLIVAR</t>
  </si>
  <si>
    <t>T1-M/M-PRA</t>
  </si>
  <si>
    <t>Transformador 30000 KVA - PRADERA</t>
  </si>
  <si>
    <t>PRADERA</t>
  </si>
  <si>
    <t>T1-M/M-PRA | PRADERA | OCCIDENTE</t>
  </si>
  <si>
    <t>T2-M/M-PRA</t>
  </si>
  <si>
    <t>Transformador 12500 KVA - PRADERA</t>
  </si>
  <si>
    <t>T2-M/M-PRA | PRADERA | OCCIDENTE</t>
  </si>
  <si>
    <t>T1-M/M-PBN</t>
  </si>
  <si>
    <t>Transformador 4000 KVA - PUEBLO NUEVO</t>
  </si>
  <si>
    <t>PUEBLO NUEVO</t>
  </si>
  <si>
    <t>T1-M/M-PBN | PUEBLO NUEVO | OCCIDENTE</t>
  </si>
  <si>
    <t>T1-M/M-PLO</t>
  </si>
  <si>
    <t>Transformador 6500 KVA - PUEBLO NUEVO</t>
  </si>
  <si>
    <t>T1-M/M-PLO | PUEBLO NUEVO | ORIENTE</t>
  </si>
  <si>
    <t>T1-M/M-PBD</t>
  </si>
  <si>
    <t>Transformador 1600 KVA - PUERTO BADEL</t>
  </si>
  <si>
    <t>PUERTO BADEL</t>
  </si>
  <si>
    <t>T1-M/M-PBD | PUERTO BADEL | BOLIVAR</t>
  </si>
  <si>
    <t>T1-M/M-PTE</t>
  </si>
  <si>
    <t>Transformador 6500 KVA - PUERTO ESCONDIDO</t>
  </si>
  <si>
    <t>PUERTO ESCONDIDO</t>
  </si>
  <si>
    <t>T1-M/M-PTE | PUERTO ESCONDIDO | OCCIDENTE</t>
  </si>
  <si>
    <t>T1-M/M-PTL</t>
  </si>
  <si>
    <t>Transformador 6500 KVA - PUERTO LIBERTADOR</t>
  </si>
  <si>
    <t>PUERTO LIBERTADOR</t>
  </si>
  <si>
    <t>T1-M/M-PTL | PUERTO LIBERTADOR | OCCIDENTE</t>
  </si>
  <si>
    <t>T2-M/M-PTL</t>
  </si>
  <si>
    <t>Transformador 3000 KVA - PUERTO LIBERTADOR</t>
  </si>
  <si>
    <t>T2-M/M-PTL | PUERTO LIBERTADOR | OCCIDENTE</t>
  </si>
  <si>
    <t>T1A-A/M-RSI</t>
  </si>
  <si>
    <t>Transformador 45000 KVA - RIO SINU</t>
  </si>
  <si>
    <t>RIO SINU</t>
  </si>
  <si>
    <t>T1A-A/M-RSI | RIO SINU | OCCIDENTE</t>
  </si>
  <si>
    <t>T2A-A/M-RSI</t>
  </si>
  <si>
    <t>T2A-A/M-RSI | RIO SINU | OCCIDENTE</t>
  </si>
  <si>
    <t>T1-M/M-RVJ</t>
  </si>
  <si>
    <t>Transformador 3000 KVA - RIO VIEJO</t>
  </si>
  <si>
    <t>RIO VIEJO</t>
  </si>
  <si>
    <t>T1-M/M-RVJ | RIO VIEJO | ORIENTE</t>
  </si>
  <si>
    <t>T2-M/M-RVJ</t>
  </si>
  <si>
    <t>T2-M/M-RVJ | RIO VIEJO | ORIENTE</t>
  </si>
  <si>
    <t>T1-M/M-SHA</t>
  </si>
  <si>
    <t>Transformador 12500 KVA - SAHAGUN</t>
  </si>
  <si>
    <t>SAHAGUN</t>
  </si>
  <si>
    <t>T1-M/M-SHA | SAHAGUN | OCCIDENTE</t>
  </si>
  <si>
    <t>T2-M/M-SHA</t>
  </si>
  <si>
    <t>T2-M/M-SHA | SAHAGUN | OCCIDENTE</t>
  </si>
  <si>
    <t>T1-M/M-SGE</t>
  </si>
  <si>
    <t>Transformador 14000 KVA - SALGUERO</t>
  </si>
  <si>
    <t>SALGUERO</t>
  </si>
  <si>
    <t>T1-M/M-SGE | SALGUERO | ORIENTE</t>
  </si>
  <si>
    <t>T2-M/M-SGE</t>
  </si>
  <si>
    <t>T2-M/M-SGE | SALGUERO | ORIENTE</t>
  </si>
  <si>
    <t>T3-M/M-SGE</t>
  </si>
  <si>
    <t>T3-M/M-SGE | SALGUERO | ORIENTE</t>
  </si>
  <si>
    <t>T1-M/M-SAM</t>
  </si>
  <si>
    <t>Transformador 5000 KVA - SAMPUES</t>
  </si>
  <si>
    <t>SAMPUES</t>
  </si>
  <si>
    <t>T1-M/M-SAM | SAMPUES | OCCIDENTE</t>
  </si>
  <si>
    <t>T2-M/M-SAM</t>
  </si>
  <si>
    <t>T2-M/M-SAM | SAMPUES | OCCIDENTE</t>
  </si>
  <si>
    <t>T1-M/M-SAS</t>
  </si>
  <si>
    <t>Transformador 5000 KVA - SAN ANDRES DE SOTAVENTO</t>
  </si>
  <si>
    <t>SAN ANDRES DE SOTAVENTO</t>
  </si>
  <si>
    <t>T1-M/M-SAS | SAN ANDRES DE SOTAVENTO | OCCIDENTE</t>
  </si>
  <si>
    <t>T2-M/M-SAS</t>
  </si>
  <si>
    <t>T2-M/M-SAS | SAN ANDRES DE SOTAVENTO | OCCIDENTE</t>
  </si>
  <si>
    <t>T1-M/M-SAT</t>
  </si>
  <si>
    <t>Transformador 15000 KVA - SAN ANTERO</t>
  </si>
  <si>
    <t>SAN ANTERO</t>
  </si>
  <si>
    <t>T1-M/M-SAT | SAN ANTERO | OCCIDENTE</t>
  </si>
  <si>
    <t>T1-M/M-SBA</t>
  </si>
  <si>
    <t>Transformador 4000 KVA - SAN BENITO DE ABAD</t>
  </si>
  <si>
    <t>SAN BENITO DE ABAD</t>
  </si>
  <si>
    <t>T1-M/M-SBA | SAN BENITO DE ABAD | OCCIDENTE</t>
  </si>
  <si>
    <t>T1-M/M-SBE</t>
  </si>
  <si>
    <t>Transformador 6500 KVA - SAN BERNARDO DEL VIENTO</t>
  </si>
  <si>
    <t>SAN BERNARDO DEL VIENTO</t>
  </si>
  <si>
    <t>T1-M/M-SBE | SAN BERNARDO DEL VIENTO | OCCIDENTE</t>
  </si>
  <si>
    <t>T1-M/M-SCL</t>
  </si>
  <si>
    <t>Transformador 6500 KVA - SAN CARLOS</t>
  </si>
  <si>
    <t>SAN CARLOS</t>
  </si>
  <si>
    <t>T1-M/M-SCL | SAN CARLOS | OCCIDENTE</t>
  </si>
  <si>
    <t>T1-M/M-SEO</t>
  </si>
  <si>
    <t>Transformador 12500 KVA - SAN ESTANISLAO</t>
  </si>
  <si>
    <t>SAN ESTANISLAO</t>
  </si>
  <si>
    <t>T1-M/M-SEO | SAN ESTANISLAO | BOLIVAR</t>
  </si>
  <si>
    <t>T1-M/M-SFE</t>
  </si>
  <si>
    <t>Transformador 2000 KVA - SAN FELIPE</t>
  </si>
  <si>
    <t>SAN FELIPE</t>
  </si>
  <si>
    <t>T1-M/M-SFE | SAN FELIPE | ORIENTE</t>
  </si>
  <si>
    <t>T1A-A/M-SJA</t>
  </si>
  <si>
    <t>Transformador 8000 KVA - SAN JACINTO</t>
  </si>
  <si>
    <t>SAN JACINTO</t>
  </si>
  <si>
    <t>T1A-A/M-SJA | SAN JACINTO | BOLIVAR</t>
  </si>
  <si>
    <t>T2A-A/M-SJA</t>
  </si>
  <si>
    <t>T2A-A/M-SJA | SAN JACINTO | BOLIVAR</t>
  </si>
  <si>
    <t>T1-M/M-SJN</t>
  </si>
  <si>
    <t>Transformador 6500 KVA - SAN JUAN NEPOMUCENO</t>
  </si>
  <si>
    <t>SAN JUAN NEPOMUCENO</t>
  </si>
  <si>
    <t>T1-M/M-SJN | SAN JUAN NEPOMUCENO | BOLIVAR</t>
  </si>
  <si>
    <t>T1-M/M-SLS</t>
  </si>
  <si>
    <t>Transformador 300 KVA - SAN LUIS</t>
  </si>
  <si>
    <t>SAN LUIS</t>
  </si>
  <si>
    <t>T1-M/M-SLS | SAN LUIS | BOLIVAR</t>
  </si>
  <si>
    <t>T1A-A/M-SMC</t>
  </si>
  <si>
    <t>Transformador 30000 KVA - SAN MARCOS</t>
  </si>
  <si>
    <t>SAN MARCOS</t>
  </si>
  <si>
    <t>T1A-A/M-SMC | SAN MARCOS | OCCIDENTE</t>
  </si>
  <si>
    <t>T1-M/M-SML</t>
  </si>
  <si>
    <t>Transformador 3000 KVA - SAN MARTIN DE LOBA</t>
  </si>
  <si>
    <t>SAN MARTIN DE LOBA</t>
  </si>
  <si>
    <t>T1-M/M-SML | SAN MARTIN DE LOBA | ORIENTE</t>
  </si>
  <si>
    <t>T1-M/M-SOF</t>
  </si>
  <si>
    <t>Transformador 10000 KVA - SAN ONOFRE</t>
  </si>
  <si>
    <t>SAN ONOFRE</t>
  </si>
  <si>
    <t>T1-M/M-SOF | SAN ONOFRE | OCCIDENTE</t>
  </si>
  <si>
    <t>T1-M/M-SPD</t>
  </si>
  <si>
    <t>Transformador 6500 KVA - SAN PEDRO</t>
  </si>
  <si>
    <t>SAN PEDRO</t>
  </si>
  <si>
    <t>T1-M/M-SPD | SAN PEDRO | OCCIDENTE</t>
  </si>
  <si>
    <t>T1-M/M-SPY</t>
  </si>
  <si>
    <t>Transformador 15000 KVA - SAN PELAYO</t>
  </si>
  <si>
    <t>SAN PELAYO</t>
  </si>
  <si>
    <t>T1-M/M-SPY | SAN PELAYO | OCCIDENTE</t>
  </si>
  <si>
    <t>T1-M/M-SRO</t>
  </si>
  <si>
    <t>Transformador 1500 KVA - SAN ROQUE</t>
  </si>
  <si>
    <t>SAN ROQUE</t>
  </si>
  <si>
    <t>T1-M/M-SRO | SAN ROQUE | ORIENTE</t>
  </si>
  <si>
    <t>T1-M/M-STE</t>
  </si>
  <si>
    <t>Transformador 1000 KVA - SANTA ELENA</t>
  </si>
  <si>
    <t>SANTA ELENA</t>
  </si>
  <si>
    <t>T1-M/M-STE | SANTA ELENA | ORIENTE</t>
  </si>
  <si>
    <t>T1-M/M-SAI</t>
  </si>
  <si>
    <t>Transformador 4000 KVA - SANTA INES</t>
  </si>
  <si>
    <t>SANTA INES</t>
  </si>
  <si>
    <t>T1-M/M-SAI | SANTA INES | OCCIDENTE</t>
  </si>
  <si>
    <t>T1-M/M-SLC</t>
  </si>
  <si>
    <t>Transformador 6500 KVA - SANTA LUCIA</t>
  </si>
  <si>
    <t>SANTA LUCIA</t>
  </si>
  <si>
    <t>T1-M/M-SLC | SANTA LUCIA | OCCIDENTE</t>
  </si>
  <si>
    <t>T1-M/M-SRS</t>
  </si>
  <si>
    <t>Transformador 4000 KVA - SANTA ROSA</t>
  </si>
  <si>
    <t>SANTA ROSA</t>
  </si>
  <si>
    <t>T1-M/M-SRS | SANTA ROSA | OCCIDENTE</t>
  </si>
  <si>
    <t>T1-M/M-SAR</t>
  </si>
  <si>
    <t>Transformador 6500 KVA - SANTA ROSA DEL SUR</t>
  </si>
  <si>
    <t>SANTA ROSA DEL SUR</t>
  </si>
  <si>
    <t>T1-M/M-SAR | SANTA ROSA DEL SUR | BOLIVAR</t>
  </si>
  <si>
    <t>T1-M/M-STR</t>
  </si>
  <si>
    <t>Transformador 2000 KVA - SANTA TERESA</t>
  </si>
  <si>
    <t>SANTA TERESA</t>
  </si>
  <si>
    <t>T1-M/M-STR | SANTA TERESA | ORIENTE</t>
  </si>
  <si>
    <t>T1-M/M-ESA</t>
  </si>
  <si>
    <t>Transformador 3000 KVA - SENA</t>
  </si>
  <si>
    <t>SENA</t>
  </si>
  <si>
    <t>T1-M/M-ESA | SENA | OCCIDENTE</t>
  </si>
  <si>
    <t>T1A-A/M-SIE</t>
  </si>
  <si>
    <t>Transformador 60000 KVA - SIERRA FLOR</t>
  </si>
  <si>
    <t>SIERRA FLOR</t>
  </si>
  <si>
    <t>T1A-A/M-SIE | SIERRA FLOR | OCCIDENTE</t>
  </si>
  <si>
    <t>T1-M/M-SMN</t>
  </si>
  <si>
    <t>Transformador 2500 KVA - SIMAÑA</t>
  </si>
  <si>
    <t>SIMAÑA</t>
  </si>
  <si>
    <t>T1-M/M-SMN | SIMAÑA | ORIENTE</t>
  </si>
  <si>
    <t>T1-M/M-SIM</t>
  </si>
  <si>
    <t>Transformador 6500 KVA - SIMITI</t>
  </si>
  <si>
    <t>SIMITI</t>
  </si>
  <si>
    <t>T1-M/M-SIM | SIMITI | BOLIVAR</t>
  </si>
  <si>
    <t>T1A-A/M-SCE</t>
  </si>
  <si>
    <t>Transformador 30000 KVA - SINCE</t>
  </si>
  <si>
    <t>SINCE</t>
  </si>
  <si>
    <t>T1A-A/M-SCE | SINCE | OCCIDENTE</t>
  </si>
  <si>
    <t>T1-M/M-SPA</t>
  </si>
  <si>
    <t>Transformador 15000 KVA - SINCELEJO PLANTA</t>
  </si>
  <si>
    <t>SINCELEJO PLANTA</t>
  </si>
  <si>
    <t>T1-M/M-SPA | SINCELEJO PLANTA | OCCIDENTE</t>
  </si>
  <si>
    <t>T1-M/M-SUC</t>
  </si>
  <si>
    <t>Transformador 4000 KVA - SUCRE</t>
  </si>
  <si>
    <t>T1-M/M-SUC | SUCRE | OCCIDENTE</t>
  </si>
  <si>
    <t>T1-M/M-TLG</t>
  </si>
  <si>
    <t>Transformador 6500 KVA - TALAIGUA NUEVO</t>
  </si>
  <si>
    <t>TALAIGUA NUEVO</t>
  </si>
  <si>
    <t>T1-M/M-TLG | TALAIGUA NUEVO | BOLIVAR</t>
  </si>
  <si>
    <t>T2-M/M-TLG</t>
  </si>
  <si>
    <t>T2-M/M-TLG | TALAIGUA NUEVO | BOLIVAR</t>
  </si>
  <si>
    <t>T1-M/M-TAN</t>
  </si>
  <si>
    <t>Transformador 6500 KVA - TAMALAMEQUE</t>
  </si>
  <si>
    <t>TAMALAMEQUE</t>
  </si>
  <si>
    <t>T1-M/M-TAN | TAMALAMEQUE | ORIENTE</t>
  </si>
  <si>
    <t>T3A/M-TER</t>
  </si>
  <si>
    <t>Transformador 45000 KVA - TERNERA</t>
  </si>
  <si>
    <t>TERNERA</t>
  </si>
  <si>
    <t>T3A/M-TER | TERNERA | BOLIVAR</t>
  </si>
  <si>
    <t>T1A-A/M-TIE</t>
  </si>
  <si>
    <t>Transformador 30000 KVA - TIERRALTA</t>
  </si>
  <si>
    <t>TIERRALTA</t>
  </si>
  <si>
    <t>T1A-A/M-TIE | TIERRALTA | OCCIDENTE</t>
  </si>
  <si>
    <t>T1-M/M-TOL</t>
  </si>
  <si>
    <t>Transformador 25000 KVA - TOLU</t>
  </si>
  <si>
    <t>TOLU</t>
  </si>
  <si>
    <t>T1-M/M-TOL | TOLU | OCCIDENTE</t>
  </si>
  <si>
    <t>T1A-A/M-TVJ</t>
  </si>
  <si>
    <t>Transformador 60000 KVA - TOLU VIEJO</t>
  </si>
  <si>
    <t>TOLU VIEJO</t>
  </si>
  <si>
    <t>T1A-A/M-TVJ | TOLU VIEJO | OCCIDENTE</t>
  </si>
  <si>
    <t>T1-M/M-TRE</t>
  </si>
  <si>
    <t>Transformador 2300 KVA - TRES ESQUINAS</t>
  </si>
  <si>
    <t>TRES ESQUINAS</t>
  </si>
  <si>
    <t>T1-M/M-TRE | TRES ESQUINAS | ORIENTE</t>
  </si>
  <si>
    <t>T1-M/M-TPS</t>
  </si>
  <si>
    <t>Transformador 250 KVA - TRES PALMAS</t>
  </si>
  <si>
    <t>TRES PALMAS</t>
  </si>
  <si>
    <t>T1-M/M-TPS | TRES PALMAS | OCCIDENTE</t>
  </si>
  <si>
    <t>T2-M/M-TPS</t>
  </si>
  <si>
    <t>T2-M/M-TPS | TRES PALMAS | OCCIDENTE</t>
  </si>
  <si>
    <t>T3-M/M-TPS</t>
  </si>
  <si>
    <t>T3-M/M-TPS | TRES PALMAS | OCCIDENTE</t>
  </si>
  <si>
    <t>T1-M/M-VAA</t>
  </si>
  <si>
    <t>Transformador 6500 KVA - VALENCIA</t>
  </si>
  <si>
    <t>VALENCIA</t>
  </si>
  <si>
    <t>T1-M/M-VAA | VALENCIA | ORIENTE</t>
  </si>
  <si>
    <t>T1-M/M-VAC</t>
  </si>
  <si>
    <t>Transformador 5000 KVA - VALENCIA</t>
  </si>
  <si>
    <t>T1-M/M-VAC | VALENCIA | OCCIDENTE</t>
  </si>
  <si>
    <t>T2-A/M-VIE</t>
  </si>
  <si>
    <t>Transformador 50000 KVA - VILLA ESTRELLA</t>
  </si>
  <si>
    <t>VILLA ESTRELLA</t>
  </si>
  <si>
    <t>T2-A/M-VIE | VILLA ESTRELLA | BOLIVAR</t>
  </si>
  <si>
    <t>T1A-A/M-ZMB</t>
  </si>
  <si>
    <t>Transformador 48000 KVA - ZAMBRANO</t>
  </si>
  <si>
    <t>ZAMBRANO</t>
  </si>
  <si>
    <t>T1A-A/M-ZMB | ZAMBRANO | BOLIVAR</t>
  </si>
  <si>
    <t>T2-A/M-ZMB</t>
  </si>
  <si>
    <t>Transformador 6000 KVA - ZAMBRANO</t>
  </si>
  <si>
    <t>T2-A/M-ZMB | ZAMBRANO | BOLIVAR</t>
  </si>
  <si>
    <t>T1-A/M-ZRG</t>
  </si>
  <si>
    <t>Transformador 35000 KVA - ZARAGOCILLA</t>
  </si>
  <si>
    <t>ZARAGOCILLA</t>
  </si>
  <si>
    <t>T1-A/M-ZRG | ZARAGOCILLA | BOLIVAR</t>
  </si>
  <si>
    <t>T2-A/M-ZRG</t>
  </si>
  <si>
    <t>T2-A/M-ZRG | ZARAGOCILLA | BOLIVAR</t>
  </si>
  <si>
    <t>T3-A/M-ZRG</t>
  </si>
  <si>
    <t>T3-A/M-ZRG | ZARAGOCILLA | BOLIVAR</t>
  </si>
  <si>
    <t>BITÁCORA DE MOVIMIENTOS (INGRESOS Y EGRESOS)</t>
  </si>
  <si>
    <t>Bitácora vacía. Se alimenta desde la hoja 'Entrega'. NO editar a mano.</t>
  </si>
  <si>
    <t>Año</t>
  </si>
  <si>
    <t>Movimiento_ID</t>
  </si>
  <si>
    <t>Equipo_Descripcion</t>
  </si>
  <si>
    <t>Suministro_ID</t>
  </si>
  <si>
    <t>Suministro_Nombre</t>
  </si>
  <si>
    <t>Cantidad</t>
  </si>
  <si>
    <t>Tipo</t>
  </si>
  <si>
    <t>Usuario</t>
  </si>
  <si>
    <t>Observaciones</t>
  </si>
  <si>
    <t>ODT</t>
  </si>
  <si>
    <t>FORMULARIO DE MOVIMIENTO DE SUMINISTROS</t>
  </si>
  <si>
    <t>Registre un INGRESO (entra stock) o EGRESO (sale stock). Escoja cualquier campo del equipo y use el botón AUTO-COMPLETAR.</t>
  </si>
  <si>
    <t>📝 DATOS DEL MOVIMIENTO</t>
  </si>
  <si>
    <t>Tipo de movimiento:</t>
  </si>
  <si>
    <t>EGRESO</t>
  </si>
  <si>
    <t>Año:</t>
  </si>
  <si>
    <t>Usuario:</t>
  </si>
  <si>
    <t>Brayan Parra</t>
  </si>
  <si>
    <t>Observaciones:</t>
  </si>
  <si>
    <t>🔧 EQUIPO — escoja UN campo y use el botón AUTO-COMPLETAR</t>
  </si>
  <si>
    <t>Escriba o seleccione en CUALQUIERA de las 4 celdas (Zona, Departamento, Subestación o Matrícula). Luego haga clic en el botón azul '🔄 AUTO-COMPLETAR EQUIPO' y los demás campos se rellenarán. Si la celda elegida identifica un único equipo, quedan todos los datos.</t>
  </si>
  <si>
    <t>Zona:</t>
  </si>
  <si>
    <t>Descripción:</t>
  </si>
  <si>
    <t>Departamento:</t>
  </si>
  <si>
    <t>Subestación:</t>
  </si>
  <si>
    <t>Potencia (KVA):</t>
  </si>
  <si>
    <t>Matrícula:</t>
  </si>
  <si>
    <t>Estado:</t>
  </si>
  <si>
    <t>📦 SUMINISTRO Y CANTIDAD</t>
  </si>
  <si>
    <t>Suministro:</t>
  </si>
  <si>
    <t>ID Suministro:</t>
  </si>
  <si>
    <t>Unidad:</t>
  </si>
  <si>
    <t>Marca:</t>
  </si>
  <si>
    <t>Stock actual disponible:</t>
  </si>
  <si>
    <t>Cantidad:</t>
  </si>
  <si>
    <t>Stock resultante:</t>
  </si>
  <si>
    <t>🗂️ ODT</t>
  </si>
  <si>
    <t>Número de ODT:</t>
  </si>
  <si>
    <t>✅ VALIDACIÓN</t>
  </si>
  <si>
    <t>📋 FILA RESUMEN (se insertará en Movimientos al confirmar)</t>
  </si>
  <si>
    <t>🟦 BOTONES (requieren macros habilitadas — ver README)</t>
  </si>
  <si>
    <t>↑ Botón AZUL: escoja una celda de C13-C16 y haga clic para rellenar las demás</t>
  </si>
  <si>
    <t>↑ Botón ROJO: registra el movimiento en la bitácora (macro ConfirmarMovimiento)</t>
  </si>
  <si>
    <t>↑ Botón MORADO: borra todos los movimientos (macro ReiniciarStock)</t>
  </si>
  <si>
    <t>DASHBOARD EJECUTIVO — GESTIÓN DE SUMINISTROS</t>
  </si>
  <si>
    <t>Inventario limpio desde 0 — se alimenta mediante INGRESOS en la hoja Entrega</t>
  </si>
  <si>
    <t>📦 TOTAL SUMINISTROS</t>
  </si>
  <si>
    <t>✅ SUMINISTROS OK</t>
  </si>
  <si>
    <t>⚠ STOCK CRÍTICO</t>
  </si>
  <si>
    <t>📦 STOCK INICIAL</t>
  </si>
  <si>
    <t>📊 UNID. DISPONIBLES</t>
  </si>
  <si>
    <t>📥 INGRESOS (ACUM)</t>
  </si>
  <si>
    <t>📤 EGRESOS (ACUM)</t>
  </si>
  <si>
    <t>📉 CONSUMIDO</t>
  </si>
  <si>
    <t>🔧 TOTAL EQUIPOS</t>
  </si>
  <si>
    <t>📝 MOVIMIENTOS</t>
  </si>
  <si>
    <t>📈 DISPONIBILIDAD</t>
  </si>
  <si>
    <t>📊 % RESTANTE</t>
  </si>
  <si>
    <t>🚨 TOP 8 SUMINISTROS CON MENOR STOCK</t>
  </si>
  <si>
    <t>Suministro</t>
  </si>
  <si>
    <t>Stock
Actual</t>
  </si>
  <si>
    <t>Stock
Inicial</t>
  </si>
  <si>
    <t>% Disp.</t>
  </si>
  <si>
    <t>Estado</t>
  </si>
  <si>
    <t>📊 DISTRIBUCIÓN DE ESTADO</t>
  </si>
  <si>
    <t>🟢 OK</t>
  </si>
  <si>
    <t>🟡 BAJO</t>
  </si>
  <si>
    <t>🔴 SIN STOCK</t>
  </si>
  <si>
    <t>🗺 MOVIMIENTOS POR ZONA</t>
  </si>
  <si>
    <t>EGRESOS</t>
  </si>
  <si>
    <t>INGRESOS</t>
  </si>
  <si>
    <t>Equipos</t>
  </si>
  <si>
    <t>🔍 FILTROS INTERACTIVOS</t>
  </si>
  <si>
    <t>Deje vacío cualquier filtro para ver todos.</t>
  </si>
  <si>
    <t>📋 Movimientos que coinciden con los filtros</t>
  </si>
  <si>
    <t>Mov ID</t>
  </si>
  <si>
    <t>Equipo</t>
  </si>
  <si>
    <t>Depart</t>
  </si>
  <si>
    <t>Subest</t>
  </si>
  <si>
    <t>Cant</t>
  </si>
  <si>
    <t>Suministro de coraza </t>
  </si>
  <si>
    <t>Suministro de radiadores </t>
  </si>
  <si>
    <t>Motoventiladores Tipo 3 </t>
  </si>
  <si>
    <t>Motoventiladores Tipo 4 </t>
  </si>
  <si>
    <t>Bombas de aceite </t>
  </si>
  <si>
    <t>Membrana tanque de expansión </t>
  </si>
  <si>
    <t>Cable protecciones mecánicas </t>
  </si>
  <si>
    <t>Transformador de corriente 5A- Imagen térmica </t>
  </si>
  <si>
    <t>Silica Gel por Kg </t>
  </si>
  <si>
    <t>Recipiente Silica Gel </t>
  </si>
  <si>
    <t>Desecador silica autoregenerable </t>
  </si>
  <si>
    <t>Relé de ruptura de membrana </t>
  </si>
  <si>
    <t>Relé de flujo </t>
  </si>
  <si>
    <t>Indicador de temperatura de aceite </t>
  </si>
  <si>
    <t>Indicador de temperatura devanados </t>
  </si>
  <si>
    <t>Indicador de nivel </t>
  </si>
  <si>
    <t>Gabinete de control </t>
  </si>
  <si>
    <t>Relé Buchholz </t>
  </si>
  <si>
    <t>Válvula de sobrepresión </t>
  </si>
  <si>
    <t>Junction block </t>
  </si>
  <si>
    <t>Buje 13,8 KV </t>
  </si>
  <si>
    <t>Buje 34,5 KV </t>
  </si>
  <si>
    <t>Buje 66/110 KV </t>
  </si>
  <si>
    <t>S23</t>
  </si>
  <si>
    <t>S24</t>
  </si>
  <si>
    <t>S25</t>
  </si>
  <si>
    <t>RHM Internacional USA</t>
  </si>
  <si>
    <t>Motoventiladores Tipo 1 </t>
  </si>
  <si>
    <t>Motoventiladores Tipo 2 </t>
  </si>
  <si>
    <t>Contrato 4125000143 — Inventario limpio (arranca en 0, se alimenta progresivamente)</t>
  </si>
  <si>
    <t>TDM RADIATORS</t>
  </si>
  <si>
    <t>ENERGINN</t>
  </si>
  <si>
    <t>📌 CÓMO REGISTRAR: (1) Llene el formulario arriba. (2) Copie la fila B31:Q31. (3) En hoja Movimientos, haga clic en la primera celda VACÍA de la columna B (debajo del último registro). (4) Pegado Especial → SOLO VALORES (Ctrl+Shift+V o clic derecho → Pegado especial → Valores). ⚠ NO inserte filas. NO use Ctrl+V normal. La columna Q es la ODT — verifique que quede copiada.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</si>
</sst>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;\(#,##0\);&quot;-&quot;"/>
    <numFmt numFmtId="165" formatCode="0.0%"/>
  </numFmts>
  <fonts count="37" x14ac:knownFonts="1">
    <font>
      <sz val="11"/>
      <color theme="1"/>
      <name val="Calibri"/>
      <family val="2"/>
      <scheme val="minor"/>
    </font>
    <font>
      <b/>
      <sz val="14"/>
      <color rgb="FFFFFFFF"/>
      <name val="Arial"/>
      <family val="2"/>
    </font>
    <font>
      <i/>
      <sz val="11"/>
      <color rgb="FF7F7F7F"/>
      <name val="Arial"/>
      <family val="2"/>
    </font>
    <font>
      <b/>
      <sz val="12"/>
      <color rgb="FFFFFFFF"/>
      <name val="Arial"/>
      <family val="2"/>
    </font>
    <font>
      <sz val="10"/>
      <name val="Arial"/>
      <family val="2"/>
    </font>
    <font>
      <sz val="10"/>
      <name val="Courier New"/>
      <family val="1"/>
    </font>
    <font>
      <b/>
      <sz val="10"/>
      <color rgb="FFFFFFFF"/>
      <name val="Arial"/>
      <family val="2"/>
    </font>
    <font>
      <b/>
      <sz val="13"/>
      <color rgb="FFFFFFFF"/>
      <name val="Arial"/>
      <family val="2"/>
    </font>
    <font>
      <sz val="9"/>
      <name val="Arial"/>
      <family val="2"/>
    </font>
    <font>
      <i/>
      <sz val="9"/>
      <color rgb="FF7F7F7F"/>
      <name val="Arial"/>
      <family val="2"/>
    </font>
    <font>
      <b/>
      <sz val="16"/>
      <color rgb="FFFFFFFF"/>
      <name val="Arial"/>
      <family val="2"/>
    </font>
    <font>
      <i/>
      <sz val="10"/>
      <color rgb="FF595959"/>
      <name val="Arial"/>
      <family val="2"/>
    </font>
    <font>
      <b/>
      <sz val="11"/>
      <color rgb="FFFFFFFF"/>
      <name val="Arial"/>
      <family val="2"/>
    </font>
    <font>
      <b/>
      <sz val="11"/>
      <name val="Arial"/>
      <family val="2"/>
    </font>
    <font>
      <i/>
      <sz val="9"/>
      <color rgb="FF595959"/>
      <name val="Arial"/>
      <family val="2"/>
    </font>
    <font>
      <i/>
      <sz val="9"/>
      <color rgb="FF305496"/>
      <name val="Arial"/>
      <family val="2"/>
    </font>
    <font>
      <b/>
      <sz val="12"/>
      <color rgb="FF305496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9"/>
      <color rgb="FF808080"/>
      <name val="Arial"/>
      <family val="2"/>
    </font>
    <font>
      <b/>
      <sz val="9"/>
      <color rgb="FFFFFFFF"/>
      <name val="Arial"/>
      <family val="2"/>
    </font>
    <font>
      <b/>
      <sz val="22"/>
      <color rgb="FF1F5F8B"/>
      <name val="Arial"/>
      <family val="2"/>
    </font>
    <font>
      <b/>
      <sz val="22"/>
      <color rgb="FF548235"/>
      <name val="Arial"/>
      <family val="2"/>
    </font>
    <font>
      <b/>
      <sz val="22"/>
      <color rgb="FFC00000"/>
      <name val="Arial"/>
      <family val="2"/>
    </font>
    <font>
      <b/>
      <sz val="22"/>
      <color rgb="FF2E75B6"/>
      <name val="Arial"/>
      <family val="2"/>
    </font>
    <font>
      <b/>
      <sz val="22"/>
      <color rgb="FFE8A33D"/>
      <name val="Arial"/>
      <family val="2"/>
    </font>
    <font>
      <b/>
      <sz val="9"/>
      <name val="Arial"/>
      <family val="2"/>
    </font>
    <font>
      <b/>
      <sz val="12"/>
      <color rgb="FF548235"/>
      <name val="Arial"/>
      <family val="2"/>
    </font>
    <font>
      <b/>
      <sz val="12"/>
      <color rgb="FFBF8F00"/>
      <name val="Arial"/>
      <family val="2"/>
    </font>
    <font>
      <b/>
      <sz val="12"/>
      <color rgb="FFC00000"/>
      <name val="Arial"/>
      <family val="2"/>
    </font>
    <font>
      <sz val="11"/>
      <color rgb="FFFFFFFF"/>
      <name val="Calibri"/>
      <family val="2"/>
      <scheme val="minor"/>
    </font>
    <font>
      <b/>
      <sz val="22"/>
      <color rgb="FFBF8F00"/>
      <name val="Arial"/>
      <family val="2"/>
    </font>
    <font>
      <b/>
      <sz val="11"/>
      <color rgb="FF000000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9"/>
      <color rgb="FF7F3F0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0F3A5F"/>
      </patternFill>
    </fill>
    <fill>
      <patternFill patternType="solid">
        <fgColor rgb="FF1F5F8B"/>
      </patternFill>
    </fill>
    <fill>
      <patternFill patternType="solid">
        <fgColor rgb="FFEDF3F9"/>
      </patternFill>
    </fill>
    <fill>
      <patternFill patternType="solid">
        <fgColor rgb="FF305496"/>
      </patternFill>
    </fill>
    <fill>
      <patternFill patternType="solid">
        <fgColor rgb="FFFFF2CC"/>
      </patternFill>
    </fill>
    <fill>
      <patternFill patternType="solid">
        <fgColor rgb="FFD9E2F3"/>
      </patternFill>
    </fill>
    <fill>
      <patternFill patternType="solid">
        <fgColor rgb="FFE8A33D"/>
      </patternFill>
    </fill>
    <fill>
      <patternFill patternType="solid">
        <fgColor rgb="FFFFFFFF"/>
      </patternFill>
    </fill>
    <fill>
      <patternFill patternType="solid">
        <fgColor rgb="FF548235"/>
      </patternFill>
    </fill>
    <fill>
      <patternFill patternType="solid">
        <fgColor rgb="FFC00000"/>
      </patternFill>
    </fill>
    <fill>
      <patternFill patternType="solid">
        <fgColor rgb="FF2E75B6"/>
      </patternFill>
    </fill>
    <fill>
      <patternFill patternType="solid">
        <fgColor rgb="FFF2F2F2"/>
      </patternFill>
    </fill>
    <fill>
      <patternFill patternType="solid">
        <fgColor rgb="FF1F5F8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DD7EE"/>
        <bgColor indexed="64"/>
      </patternFill>
    </fill>
  </fills>
  <borders count="2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/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 style="thin">
        <color rgb="FFBFBFBF"/>
      </right>
      <top/>
      <bottom/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/>
      <bottom style="thin">
        <color rgb="FFBFBFBF"/>
      </bottom>
      <diagonal/>
    </border>
    <border>
      <left style="thin">
        <color rgb="FF95B3D7"/>
      </left>
      <right style="thin">
        <color rgb="FF95B3D7"/>
      </right>
      <top style="thin">
        <color rgb="FF95B3D7"/>
      </top>
      <bottom style="thin">
        <color rgb="FF95B3D7"/>
      </bottom>
      <diagonal/>
    </border>
    <border>
      <left style="thin">
        <color rgb="FFBFBFBF"/>
      </left>
      <right style="thin">
        <color rgb="FFBFBFBF"/>
      </right>
      <top style="thin">
        <color rgb="FF2E75B6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2E75B6"/>
      </bottom>
      <diagonal/>
    </border>
    <border>
      <left style="thin">
        <color rgb="FFBFBFBF"/>
      </left>
      <right/>
      <top style="thin">
        <color rgb="FFBFBFBF"/>
      </top>
      <bottom style="thin">
        <color rgb="FF2E75B6"/>
      </bottom>
      <diagonal/>
    </border>
    <border>
      <left style="thin">
        <color rgb="FF2E75B6"/>
      </left>
      <right style="thin">
        <color rgb="FFBFBFBF"/>
      </right>
      <top style="thin">
        <color rgb="FF2E75B6"/>
      </top>
      <bottom style="thin">
        <color rgb="FFBFBFBF"/>
      </bottom>
      <diagonal/>
    </border>
    <border>
      <left style="thin">
        <color rgb="FF2E75B6"/>
      </left>
      <right style="thin">
        <color rgb="FFBFBFBF"/>
      </right>
      <top style="thin">
        <color rgb="FFBFBFBF"/>
      </top>
      <bottom style="thin">
        <color rgb="FF2E75B6"/>
      </bottom>
      <diagonal/>
    </border>
    <border>
      <left style="thin">
        <color rgb="FFBFBFBF"/>
      </left>
      <right style="thin">
        <color rgb="FF2E75B6"/>
      </right>
      <top style="thin">
        <color rgb="FF2E75B6"/>
      </top>
      <bottom style="thin">
        <color rgb="FFBFBFBF"/>
      </bottom>
      <diagonal/>
    </border>
    <border>
      <left style="thin">
        <color rgb="FFBFBFBF"/>
      </left>
      <right style="thin">
        <color rgb="FF2E75B6"/>
      </right>
      <top style="thin">
        <color rgb="FFBFBFBF"/>
      </top>
      <bottom style="thin">
        <color rgb="FF2E75B6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3" borderId="0" xfId="0" applyFont="1" applyFill="1" applyAlignment="1">
      <alignment horizontal="left" indent="1"/>
    </xf>
    <xf numFmtId="0" fontId="4" fillId="0" borderId="0" xfId="0" applyFont="1" applyAlignment="1">
      <alignment horizontal="left" wrapText="1" indent="1"/>
    </xf>
    <xf numFmtId="0" fontId="5" fillId="4" borderId="0" xfId="0" applyFont="1" applyFill="1" applyAlignment="1">
      <alignment horizontal="left" indent="2"/>
    </xf>
    <xf numFmtId="0" fontId="6" fillId="3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 indent="1"/>
    </xf>
    <xf numFmtId="3" fontId="4" fillId="0" borderId="1" xfId="0" applyNumberFormat="1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3" fontId="8" fillId="0" borderId="1" xfId="0" applyNumberFormat="1" applyFont="1" applyBorder="1" applyAlignment="1">
      <alignment horizontal="center" vertical="center" wrapText="1"/>
    </xf>
    <xf numFmtId="0" fontId="6" fillId="5" borderId="1" xfId="0" applyFont="1" applyFill="1" applyBorder="1" applyAlignment="1">
      <alignment horizontal="right" vertical="center" indent="1"/>
    </xf>
    <xf numFmtId="0" fontId="13" fillId="6" borderId="1" xfId="0" applyFont="1" applyFill="1" applyBorder="1" applyAlignment="1">
      <alignment horizontal="left" vertical="center" indent="1"/>
    </xf>
    <xf numFmtId="3" fontId="16" fillId="7" borderId="1" xfId="0" applyNumberFormat="1" applyFont="1" applyFill="1" applyBorder="1" applyAlignment="1">
      <alignment horizontal="center" vertical="center"/>
    </xf>
    <xf numFmtId="0" fontId="17" fillId="7" borderId="1" xfId="0" applyFont="1" applyFill="1" applyBorder="1" applyAlignment="1">
      <alignment horizontal="center" vertical="center" wrapText="1"/>
    </xf>
    <xf numFmtId="0" fontId="0" fillId="0" borderId="6" xfId="0" applyBorder="1"/>
    <xf numFmtId="164" fontId="4" fillId="7" borderId="1" xfId="0" applyNumberFormat="1" applyFont="1" applyFill="1" applyBorder="1" applyAlignment="1">
      <alignment horizontal="left" vertical="center" wrapText="1" indent="1"/>
    </xf>
    <xf numFmtId="0" fontId="20" fillId="3" borderId="1" xfId="0" applyFont="1" applyFill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/>
    </xf>
    <xf numFmtId="164" fontId="13" fillId="0" borderId="1" xfId="0" applyNumberFormat="1" applyFont="1" applyBorder="1" applyAlignment="1">
      <alignment horizontal="center" vertical="center"/>
    </xf>
    <xf numFmtId="165" fontId="4" fillId="0" borderId="1" xfId="0" applyNumberFormat="1" applyFont="1" applyBorder="1" applyAlignment="1">
      <alignment horizontal="center" vertical="center"/>
    </xf>
    <xf numFmtId="0" fontId="17" fillId="4" borderId="1" xfId="0" applyFont="1" applyFill="1" applyBorder="1" applyAlignment="1">
      <alignment horizontal="left" vertical="center" indent="1"/>
    </xf>
    <xf numFmtId="3" fontId="27" fillId="0" borderId="1" xfId="0" applyNumberFormat="1" applyFont="1" applyBorder="1" applyAlignment="1">
      <alignment horizontal="center" vertical="center"/>
    </xf>
    <xf numFmtId="3" fontId="28" fillId="0" borderId="1" xfId="0" applyNumberFormat="1" applyFont="1" applyBorder="1" applyAlignment="1">
      <alignment horizontal="center" vertical="center"/>
    </xf>
    <xf numFmtId="3" fontId="29" fillId="0" borderId="1" xfId="0" applyNumberFormat="1" applyFont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17" fillId="13" borderId="1" xfId="0" applyFont="1" applyFill="1" applyBorder="1" applyAlignment="1">
      <alignment horizontal="right" vertical="center" indent="1"/>
    </xf>
    <xf numFmtId="0" fontId="20" fillId="2" borderId="1" xfId="0" applyFont="1" applyFill="1" applyBorder="1" applyAlignment="1">
      <alignment horizontal="center" vertical="center"/>
    </xf>
    <xf numFmtId="0" fontId="4" fillId="0" borderId="0" xfId="0" applyFont="1"/>
    <xf numFmtId="1" fontId="4" fillId="0" borderId="1" xfId="0" applyNumberFormat="1" applyFont="1" applyBorder="1" applyAlignment="1">
      <alignment horizontal="center" vertical="center"/>
    </xf>
    <xf numFmtId="0" fontId="20" fillId="14" borderId="8" xfId="0" applyFont="1" applyFill="1" applyBorder="1" applyAlignment="1">
      <alignment horizontal="center"/>
    </xf>
    <xf numFmtId="0" fontId="30" fillId="14" borderId="5" xfId="0" applyFont="1" applyFill="1" applyBorder="1"/>
    <xf numFmtId="3" fontId="21" fillId="15" borderId="2" xfId="0" applyNumberFormat="1" applyFont="1" applyFill="1" applyBorder="1" applyAlignment="1">
      <alignment horizontal="center"/>
    </xf>
    <xf numFmtId="0" fontId="0" fillId="15" borderId="9" xfId="0" applyFill="1" applyBorder="1"/>
    <xf numFmtId="0" fontId="0" fillId="0" borderId="4" xfId="0" applyBorder="1"/>
    <xf numFmtId="0" fontId="20" fillId="16" borderId="8" xfId="0" applyFont="1" applyFill="1" applyBorder="1" applyAlignment="1">
      <alignment horizontal="center"/>
    </xf>
    <xf numFmtId="0" fontId="0" fillId="16" borderId="5" xfId="0" applyFill="1" applyBorder="1"/>
    <xf numFmtId="3" fontId="31" fillId="15" borderId="2" xfId="0" applyNumberFormat="1" applyFont="1" applyFill="1" applyBorder="1" applyAlignment="1">
      <alignment horizontal="center"/>
    </xf>
    <xf numFmtId="0" fontId="20" fillId="17" borderId="8" xfId="0" applyFont="1" applyFill="1" applyBorder="1" applyAlignment="1">
      <alignment horizontal="center"/>
    </xf>
    <xf numFmtId="0" fontId="0" fillId="17" borderId="5" xfId="0" applyFill="1" applyBorder="1"/>
    <xf numFmtId="165" fontId="22" fillId="15" borderId="2" xfId="0" applyNumberFormat="1" applyFont="1" applyFill="1" applyBorder="1" applyAlignment="1">
      <alignment horizontal="center"/>
    </xf>
    <xf numFmtId="0" fontId="6" fillId="5" borderId="0" xfId="0" applyFont="1" applyFill="1" applyAlignment="1">
      <alignment horizontal="right" vertical="center" indent="1"/>
    </xf>
    <xf numFmtId="164" fontId="4" fillId="7" borderId="0" xfId="0" applyNumberFormat="1" applyFont="1" applyFill="1" applyAlignment="1">
      <alignment horizontal="left" vertical="center" wrapText="1" indent="1"/>
    </xf>
    <xf numFmtId="0" fontId="0" fillId="0" borderId="9" xfId="0" applyBorder="1"/>
    <xf numFmtId="0" fontId="0" fillId="0" borderId="2" xfId="0" applyBorder="1"/>
    <xf numFmtId="0" fontId="0" fillId="0" borderId="11" xfId="0" applyBorder="1"/>
    <xf numFmtId="0" fontId="6" fillId="5" borderId="12" xfId="0" applyFont="1" applyFill="1" applyBorder="1" applyAlignment="1">
      <alignment horizontal="right" vertical="center" indent="1"/>
    </xf>
    <xf numFmtId="3" fontId="13" fillId="6" borderId="12" xfId="0" applyNumberFormat="1" applyFont="1" applyFill="1" applyBorder="1" applyAlignment="1">
      <alignment horizontal="right" vertical="center" indent="2"/>
    </xf>
    <xf numFmtId="0" fontId="6" fillId="18" borderId="13" xfId="0" applyFont="1" applyFill="1" applyBorder="1" applyAlignment="1">
      <alignment horizontal="right" vertical="center" indent="1"/>
    </xf>
    <xf numFmtId="0" fontId="0" fillId="14" borderId="12" xfId="0" applyFill="1" applyBorder="1" applyAlignment="1">
      <alignment horizontal="center"/>
    </xf>
    <xf numFmtId="0" fontId="6" fillId="3" borderId="10" xfId="0" applyFont="1" applyFill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/>
    </xf>
    <xf numFmtId="0" fontId="33" fillId="20" borderId="15" xfId="0" applyFont="1" applyFill="1" applyBorder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0" fillId="0" borderId="0" xfId="0"/>
    <xf numFmtId="0" fontId="7" fillId="2" borderId="0" xfId="0" applyFont="1" applyFill="1" applyAlignment="1">
      <alignment horizontal="center" vertical="center"/>
    </xf>
    <xf numFmtId="0" fontId="9" fillId="0" borderId="0" xfId="0" applyFont="1"/>
    <xf numFmtId="0" fontId="19" fillId="0" borderId="0" xfId="0" applyFont="1" applyAlignment="1">
      <alignment horizontal="center"/>
    </xf>
    <xf numFmtId="0" fontId="12" fillId="3" borderId="0" xfId="0" applyFont="1" applyFill="1" applyAlignment="1">
      <alignment horizontal="left" vertical="center" indent="1"/>
    </xf>
    <xf numFmtId="0" fontId="13" fillId="6" borderId="1" xfId="0" applyFont="1" applyFill="1" applyBorder="1" applyAlignment="1">
      <alignment horizontal="left" vertical="center" indent="1"/>
    </xf>
    <xf numFmtId="0" fontId="0" fillId="0" borderId="6" xfId="0" applyBorder="1"/>
    <xf numFmtId="0" fontId="0" fillId="0" borderId="7" xfId="0" applyBorder="1"/>
    <xf numFmtId="0" fontId="12" fillId="8" borderId="0" xfId="0" applyFont="1" applyFill="1" applyAlignment="1">
      <alignment horizontal="left" vertical="center" indent="1"/>
    </xf>
    <xf numFmtId="0" fontId="10" fillId="2" borderId="0" xfId="0" applyFont="1" applyFill="1" applyAlignment="1">
      <alignment horizontal="center" vertical="center"/>
    </xf>
    <xf numFmtId="0" fontId="12" fillId="14" borderId="10" xfId="0" applyFont="1" applyFill="1" applyBorder="1" applyAlignment="1">
      <alignment horizontal="left" vertical="center" indent="1"/>
    </xf>
    <xf numFmtId="0" fontId="12" fillId="14" borderId="6" xfId="0" applyFont="1" applyFill="1" applyBorder="1" applyAlignment="1">
      <alignment horizontal="left" vertical="center" indent="1"/>
    </xf>
    <xf numFmtId="0" fontId="12" fillId="14" borderId="0" xfId="0" applyFont="1" applyFill="1" applyAlignment="1">
      <alignment horizontal="left" vertical="center" indent="1"/>
    </xf>
    <xf numFmtId="0" fontId="14" fillId="0" borderId="0" xfId="0" applyFont="1" applyAlignment="1">
      <alignment horizontal="left" vertical="center" wrapText="1"/>
    </xf>
    <xf numFmtId="0" fontId="18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 wrapText="1"/>
    </xf>
    <xf numFmtId="0" fontId="15" fillId="7" borderId="1" xfId="0" applyFont="1" applyFill="1" applyBorder="1" applyAlignment="1">
      <alignment horizontal="left" vertical="center" wrapText="1" indent="1"/>
    </xf>
    <xf numFmtId="0" fontId="0" fillId="0" borderId="3" xfId="0" applyBorder="1"/>
    <xf numFmtId="0" fontId="20" fillId="11" borderId="1" xfId="0" applyFont="1" applyFill="1" applyBorder="1" applyAlignment="1">
      <alignment horizontal="center" vertical="center" wrapText="1"/>
    </xf>
    <xf numFmtId="165" fontId="25" fillId="9" borderId="1" xfId="0" applyNumberFormat="1" applyFont="1" applyFill="1" applyBorder="1" applyAlignment="1">
      <alignment horizontal="center" vertical="center"/>
    </xf>
    <xf numFmtId="0" fontId="12" fillId="11" borderId="0" xfId="0" applyFont="1" applyFill="1" applyAlignment="1">
      <alignment horizontal="left" vertical="center" indent="1"/>
    </xf>
    <xf numFmtId="0" fontId="8" fillId="0" borderId="1" xfId="0" applyFont="1" applyBorder="1" applyAlignment="1">
      <alignment horizontal="left" vertical="center" wrapText="1" indent="1"/>
    </xf>
    <xf numFmtId="0" fontId="0" fillId="0" borderId="1" xfId="0" applyBorder="1"/>
    <xf numFmtId="0" fontId="17" fillId="6" borderId="1" xfId="0" applyFont="1" applyFill="1" applyBorder="1" applyAlignment="1">
      <alignment horizontal="left" vertical="center" indent="1"/>
    </xf>
    <xf numFmtId="0" fontId="20" fillId="3" borderId="1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left" vertical="center" indent="1"/>
    </xf>
    <xf numFmtId="0" fontId="26" fillId="0" borderId="1" xfId="0" applyFont="1" applyBorder="1" applyAlignment="1">
      <alignment horizontal="center" vertical="center"/>
    </xf>
    <xf numFmtId="3" fontId="22" fillId="9" borderId="1" xfId="0" applyNumberFormat="1" applyFont="1" applyFill="1" applyBorder="1" applyAlignment="1">
      <alignment horizontal="center" vertical="center"/>
    </xf>
    <xf numFmtId="3" fontId="24" fillId="9" borderId="1" xfId="0" applyNumberFormat="1" applyFont="1" applyFill="1" applyBorder="1" applyAlignment="1">
      <alignment horizontal="center" vertical="center"/>
    </xf>
    <xf numFmtId="3" fontId="21" fillId="9" borderId="1" xfId="0" applyNumberFormat="1" applyFont="1" applyFill="1" applyBorder="1" applyAlignment="1">
      <alignment horizontal="center" vertical="center"/>
    </xf>
    <xf numFmtId="3" fontId="23" fillId="9" borderId="1" xfId="0" applyNumberFormat="1" applyFont="1" applyFill="1" applyBorder="1" applyAlignment="1">
      <alignment horizontal="center" vertical="center"/>
    </xf>
    <xf numFmtId="0" fontId="20" fillId="8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20" fillId="10" borderId="1" xfId="0" applyFont="1" applyFill="1" applyBorder="1" applyAlignment="1">
      <alignment horizontal="center" vertical="center" wrapText="1"/>
    </xf>
    <xf numFmtId="0" fontId="20" fillId="12" borderId="1" xfId="0" applyFont="1" applyFill="1" applyBorder="1" applyAlignment="1">
      <alignment horizontal="center" vertical="center" wrapText="1"/>
    </xf>
    <xf numFmtId="0" fontId="0" fillId="7" borderId="1" xfId="0" applyFont="1" applyFill="1" applyBorder="1" applyAlignment="1">
      <alignment horizontal="left" vertical="center" wrapText="1" indent="1"/>
    </xf>
    <xf numFmtId="164" fontId="0" fillId="7" borderId="1" xfId="0" applyNumberFormat="1" applyFont="1" applyFill="1" applyBorder="1" applyAlignment="1">
      <alignment horizontal="left" vertical="center" wrapText="1" indent="1"/>
    </xf>
    <xf numFmtId="0" fontId="0" fillId="0" borderId="0" xfId="0" applyAlignment="1">
      <alignment horizontal="center" vertical="center"/>
    </xf>
    <xf numFmtId="0" fontId="6" fillId="3" borderId="16" xfId="0" applyFont="1" applyFill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3" fontId="4" fillId="0" borderId="17" xfId="0" applyNumberFormat="1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6" fillId="3" borderId="19" xfId="0" applyFont="1" applyFill="1" applyBorder="1" applyAlignment="1">
      <alignment horizontal="center" vertical="center" wrapText="1"/>
    </xf>
    <xf numFmtId="0" fontId="4" fillId="0" borderId="20" xfId="0" applyFont="1" applyBorder="1" applyAlignment="1">
      <alignment horizontal="center" vertical="center" wrapText="1"/>
    </xf>
    <xf numFmtId="0" fontId="35" fillId="21" borderId="21" xfId="0" applyFont="1" applyFill="1" applyBorder="1" applyAlignment="1">
      <alignment horizontal="center"/>
    </xf>
    <xf numFmtId="0" fontId="35" fillId="19" borderId="22" xfId="0" applyFont="1" applyFill="1" applyBorder="1" applyAlignment="1">
      <alignment horizontal="center"/>
    </xf>
    <xf numFmtId="0" fontId="35" fillId="22" borderId="0" xfId="0" applyFont="1" applyFill="1"/>
    <xf numFmtId="0" fontId="36" fillId="19" borderId="0" xfId="0" applyFont="1" applyFill="1" applyAlignment="1">
      <alignment horizontal="left" vertical="top" wrapText="1"/>
    </xf>
    <xf numFmtId="1" fontId="32" fillId="19" borderId="14" xfId="0" applyNumberFormat="1" applyFont="1" applyFill="1" applyBorder="1" applyAlignment="1">
      <alignment horizontal="left" vertical="center" indent="2"/>
    </xf>
  </cellXfs>
  <cellStyles count="1">
    <cellStyle name="Normal" xfId="0" builtinId="0"/>
  </cellStyles>
  <dxfs count="18">
    <dxf>
      <fill>
        <patternFill patternType="solid">
          <fgColor rgb="FFE2EFDA"/>
        </patternFill>
      </fill>
    </dxf>
    <dxf>
      <fill>
        <patternFill patternType="solid">
          <fgColor rgb="FFFFF2CC"/>
        </patternFill>
      </fill>
    </dxf>
    <dxf>
      <fill>
        <patternFill patternType="solid">
          <fgColor rgb="FFFCE4D6"/>
        </patternFill>
      </fill>
    </dxf>
    <dxf>
      <fill>
        <patternFill patternType="solid">
          <fgColor rgb="FFFFF2CC"/>
        </patternFill>
      </fill>
    </dxf>
    <dxf>
      <fill>
        <patternFill patternType="solid">
          <fgColor rgb="FFFCE4D6"/>
        </patternFill>
      </fill>
    </dxf>
    <dxf>
      <fill>
        <patternFill patternType="solid">
          <fgColor rgb="FFFFF2CC"/>
        </patternFill>
      </fill>
    </dxf>
    <dxf>
      <fill>
        <patternFill patternType="solid">
          <fgColor rgb="FFFCE4D6"/>
        </patternFill>
      </fill>
    </dxf>
    <dxf>
      <fill>
        <patternFill patternType="solid">
          <fgColor rgb="FFE2EFDA"/>
        </patternFill>
      </fill>
    </dxf>
    <dxf>
      <fill>
        <patternFill patternType="solid">
          <fgColor rgb="FFE2EFDA"/>
        </patternFill>
      </fill>
    </dxf>
    <dxf>
      <fill>
        <patternFill patternType="solid">
          <fgColor rgb="FFFFF2CC"/>
        </patternFill>
      </fill>
    </dxf>
    <dxf>
      <fill>
        <patternFill patternType="solid">
          <fgColor rgb="FFFCE4D6"/>
        </patternFill>
      </fill>
    </dxf>
    <dxf>
      <border diagonalUp="0" diagonalDown="0">
        <left style="thin">
          <color rgb="FF95B3D7"/>
        </left>
        <right style="thin">
          <color rgb="FF95B3D7"/>
        </right>
        <top style="thin">
          <color rgb="FF95B3D7"/>
        </top>
        <bottom style="thin">
          <color rgb="FF95B3D7"/>
        </bottom>
        <vertical/>
        <horizontal style="thin">
          <color rgb="FF95B3D7"/>
        </horizontal>
      </border>
    </dxf>
    <dxf>
      <border outline="0">
        <left style="thin">
          <color rgb="FFBFBFBF"/>
        </left>
      </border>
    </dxf>
    <dxf>
      <numFmt numFmtId="1" formatCode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s-CO"/>
              <a:t>Distribución por Estado</a:t>
            </a:r>
          </a:p>
        </c:rich>
      </c:tx>
      <c:overlay val="1"/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Dashboard!$C$25</c:f>
              <c:strCache>
                <c:ptCount val="1"/>
                <c:pt idx="0">
                  <c:v>Cantidad</c:v>
                </c:pt>
              </c:strCache>
            </c:strRef>
          </c:tx>
          <c:spPr>
            <a:ln>
              <a:prstDash val="solid"/>
            </a:ln>
          </c:spPr>
          <c:dLbls>
            <c:spPr>
              <a:noFill/>
              <a:ln>
                <a:noFill/>
              </a:ln>
              <a:effectLst/>
            </c:spPr>
            <c:showLegendKey val="1"/>
            <c:showVal val="1"/>
            <c:showCatName val="1"/>
            <c:showSerName val="1"/>
            <c:showPercent val="1"/>
            <c:showBubbleSize val="1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Dashboard!$B$26:$B$28</c:f>
              <c:strCache>
                <c:ptCount val="3"/>
                <c:pt idx="0">
                  <c:v>🟢 OK</c:v>
                </c:pt>
                <c:pt idx="1">
                  <c:v>🟡 BAJO</c:v>
                </c:pt>
                <c:pt idx="2">
                  <c:v>🔴 SIN STOCK</c:v>
                </c:pt>
              </c:strCache>
            </c:strRef>
          </c:cat>
          <c:val>
            <c:numRef>
              <c:f>Dashboard!$C$26:$C$28</c:f>
              <c:numCache>
                <c:formatCode>#,##0</c:formatCode>
                <c:ptCount val="3"/>
                <c:pt idx="0">
                  <c:v>11</c:v>
                </c:pt>
                <c:pt idx="1">
                  <c:v>4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AE-B243-A11E-65C7B1364497}"/>
            </c:ext>
          </c:extLst>
        </c:ser>
        <c:dLbls>
          <c:showLegendKey val="1"/>
          <c:showVal val="1"/>
          <c:showCatName val="1"/>
          <c:showSerName val="1"/>
          <c:showPercent val="1"/>
          <c:showBubbleSize val="1"/>
          <c:showLeaderLines val="1"/>
        </c:dLbls>
        <c:firstSliceAng val="0"/>
        <c:holeSize val="10"/>
      </c:doughnutChart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c:style val="11"/>
  <c:chart>
    <c:title>
      <c:tx>
        <c:rich>
          <a:bodyPr/>
          <a:lstStyle/>
          <a:p>
            <a:pPr>
              <a:defRPr/>
            </a:pPr>
            <a:r>
              <a:rPr lang="es-CO"/>
              <a:t>INGRESOS vs EGRESOS por Zona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Dashboard!$C$38</c:f>
              <c:strCache>
                <c:ptCount val="1"/>
                <c:pt idx="0">
                  <c:v>EGRESOS</c:v>
                </c:pt>
              </c:strCache>
            </c:strRef>
          </c:tx>
          <c:spPr>
            <a:ln>
              <a:prstDash val="solid"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1"/>
            <c:showVal val="1"/>
            <c:showCatName val="1"/>
            <c:showSerName val="1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Dashboard!$B$39:$B$41</c:f>
              <c:strCache>
                <c:ptCount val="3"/>
                <c:pt idx="0">
                  <c:v>ORIENTE</c:v>
                </c:pt>
                <c:pt idx="1">
                  <c:v>BOLIVAR</c:v>
                </c:pt>
                <c:pt idx="2">
                  <c:v>OCCIDENTE</c:v>
                </c:pt>
              </c:strCache>
            </c:strRef>
          </c:cat>
          <c:val>
            <c:numRef>
              <c:f>Dashboard!$C$39:$C$41</c:f>
              <c:numCache>
                <c:formatCode>#,##0;\(#,##0\);"-"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B0-3545-A84C-8839511382C5}"/>
            </c:ext>
          </c:extLst>
        </c:ser>
        <c:ser>
          <c:idx val="1"/>
          <c:order val="1"/>
          <c:tx>
            <c:strRef>
              <c:f>Dashboard!$D$38</c:f>
              <c:strCache>
                <c:ptCount val="1"/>
                <c:pt idx="0">
                  <c:v>INGRESOS</c:v>
                </c:pt>
              </c:strCache>
            </c:strRef>
          </c:tx>
          <c:spPr>
            <a:ln>
              <a:prstDash val="solid"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1"/>
            <c:showVal val="1"/>
            <c:showCatName val="1"/>
            <c:showSerName val="1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Dashboard!$B$39:$B$41</c:f>
              <c:strCache>
                <c:ptCount val="3"/>
                <c:pt idx="0">
                  <c:v>ORIENTE</c:v>
                </c:pt>
                <c:pt idx="1">
                  <c:v>BOLIVAR</c:v>
                </c:pt>
                <c:pt idx="2">
                  <c:v>OCCIDENTE</c:v>
                </c:pt>
              </c:strCache>
            </c:strRef>
          </c:cat>
          <c:val>
            <c:numRef>
              <c:f>Dashboard!$D$39:$D$41</c:f>
              <c:numCache>
                <c:formatCode>#,##0;\(#,##0\);"-"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B0-3545-A84C-8839511382C5}"/>
            </c:ext>
          </c:extLst>
        </c:ser>
        <c:dLbls>
          <c:showLegendKey val="1"/>
          <c:showVal val="1"/>
          <c:showCatName val="1"/>
          <c:showSerName val="1"/>
          <c:showPercent val="1"/>
          <c:showBubbleSize val="1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#,##0;\(#,##0\);&quot;-&quot;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36</xdr:row>
      <xdr:rowOff>19050</xdr:rowOff>
    </xdr:from>
    <xdr:to>
      <xdr:col>6</xdr:col>
      <xdr:colOff>0</xdr:colOff>
      <xdr:row>37</xdr:row>
      <xdr:rowOff>0</xdr:rowOff>
    </xdr:to>
    <xdr:sp macro="[0]!AutoCompletarManual" textlink="">
      <xdr:nvSpPr>
        <xdr:cNvPr id="2" name="BtnAutoCompletar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0"/>
          <a:ext cx="0" cy="0"/>
        </a:xfrm>
        <a:prstGeom prst="roundRect">
          <a:avLst>
            <a:gd name="adj" fmla="val 12500"/>
          </a:avLst>
        </a:prstGeom>
        <a:solidFill>
          <a:srgbClr val="2E75B6"/>
        </a:solidFill>
        <a:ln w="25400">
          <a:solidFill>
            <a:srgbClr val="1F4E79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rtlCol="0" anchor="ctr"/>
        <a:lstStyle/>
        <a:p>
          <a:pPr algn="ctr"/>
          <a:r>
            <a:rPr lang="es-CO" sz="1200" b="1">
              <a:solidFill>
                <a:srgbClr val="FFFFFF"/>
              </a:solidFill>
              <a:latin typeface="Arial"/>
            </a:rPr>
            <a:t>🔍  AUTO-COMPLETAR EQUIPO</a:t>
          </a:r>
        </a:p>
      </xdr:txBody>
    </xdr:sp>
    <xdr:clientData fPrintsWithSheet="0"/>
  </xdr:twoCellAnchor>
  <xdr:twoCellAnchor editAs="oneCell">
    <xdr:from>
      <xdr:col>2</xdr:col>
      <xdr:colOff>38100</xdr:colOff>
      <xdr:row>39</xdr:row>
      <xdr:rowOff>19050</xdr:rowOff>
    </xdr:from>
    <xdr:to>
      <xdr:col>6</xdr:col>
      <xdr:colOff>0</xdr:colOff>
      <xdr:row>40</xdr:row>
      <xdr:rowOff>0</xdr:rowOff>
    </xdr:to>
    <xdr:sp macro="[0]!ConfirmarMovimiento" textlink="">
      <xdr:nvSpPr>
        <xdr:cNvPr id="3" name="BtnConfirmar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0"/>
          <a:ext cx="0" cy="0"/>
        </a:xfrm>
        <a:prstGeom prst="roundRect">
          <a:avLst>
            <a:gd name="adj" fmla="val 12500"/>
          </a:avLst>
        </a:prstGeom>
        <a:solidFill>
          <a:srgbClr val="C00000"/>
        </a:solidFill>
        <a:ln w="25400">
          <a:solidFill>
            <a:srgbClr val="700000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rtlCol="0" anchor="ctr"/>
        <a:lstStyle/>
        <a:p>
          <a:pPr algn="ctr"/>
          <a:r>
            <a:rPr lang="es-CO" sz="1400" b="1">
              <a:solidFill>
                <a:srgbClr val="FFFFFF"/>
              </a:solidFill>
              <a:latin typeface="Arial"/>
            </a:rPr>
            <a:t>←←  CONFIRMAR MOVIMIENTO  →→</a:t>
          </a:r>
        </a:p>
      </xdr:txBody>
    </xdr:sp>
    <xdr:clientData fPrintsWithSheet="0"/>
  </xdr:twoCellAnchor>
  <xdr:twoCellAnchor editAs="oneCell">
    <xdr:from>
      <xdr:col>2</xdr:col>
      <xdr:colOff>38100</xdr:colOff>
      <xdr:row>42</xdr:row>
      <xdr:rowOff>19050</xdr:rowOff>
    </xdr:from>
    <xdr:to>
      <xdr:col>6</xdr:col>
      <xdr:colOff>0</xdr:colOff>
      <xdr:row>43</xdr:row>
      <xdr:rowOff>0</xdr:rowOff>
    </xdr:to>
    <xdr:sp macro="[0]!ReiniciarStock" textlink="">
      <xdr:nvSpPr>
        <xdr:cNvPr id="4" name="BtnReiniciar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0" y="0"/>
          <a:ext cx="0" cy="0"/>
        </a:xfrm>
        <a:prstGeom prst="roundRect">
          <a:avLst>
            <a:gd name="adj" fmla="val 12500"/>
          </a:avLst>
        </a:prstGeom>
        <a:solidFill>
          <a:srgbClr val="7030A0"/>
        </a:solidFill>
        <a:ln w="25400">
          <a:solidFill>
            <a:srgbClr val="4D1B7B"/>
          </a:solidFill>
        </a:ln>
      </xdr:spPr>
      <xdr:txBody>
        <a:bodyPr rtlCol="0" anchor="ctr"/>
        <a:lstStyle/>
        <a:p>
          <a:pPr algn="ctr"/>
          <a:r>
            <a:rPr lang="es-CO" sz="1100" b="1">
              <a:solidFill>
                <a:srgbClr val="FFFFFF"/>
              </a:solidFill>
              <a:latin typeface="Arial"/>
            </a:rPr>
            <a:t>REINICIAR STOCK (borrar movimientos)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609600</xdr:colOff>
      <xdr:row>23</xdr:row>
      <xdr:rowOff>279400</xdr:rowOff>
    </xdr:from>
    <xdr:ext cx="3600000" cy="252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13</xdr:col>
      <xdr:colOff>457200</xdr:colOff>
      <xdr:row>23</xdr:row>
      <xdr:rowOff>139700</xdr:rowOff>
    </xdr:from>
    <xdr:ext cx="15811500" cy="55118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Suministros" displayName="tblSuministros" ref="B3:J28">
  <autoFilter ref="B3:J28" xr:uid="{00000000-0009-0000-0100-000001000000}"/>
  <tableColumns count="9">
    <tableColumn id="2" xr3:uid="{00000000-0010-0000-0000-000002000000}" name="ID"/>
    <tableColumn id="3" xr3:uid="{00000000-0010-0000-0000-000003000000}" name="Nombre"/>
    <tableColumn id="4" xr3:uid="{00000000-0010-0000-0000-000004000000}" name="Unidad"/>
    <tableColumn id="5" xr3:uid="{00000000-0010-0000-0000-000005000000}" name="Stock_Inicial"/>
    <tableColumn id="6" xr3:uid="{00000000-0010-0000-0000-000006000000}" name="Total_Ingresado"/>
    <tableColumn id="7" xr3:uid="{00000000-0010-0000-0000-000007000000}" name="Total_Egresado"/>
    <tableColumn id="8" xr3:uid="{00000000-0010-0000-0000-000008000000}" name="Stock_Actual"/>
    <tableColumn id="9" xr3:uid="{00000000-0010-0000-0000-000009000000}" name="Alerta"/>
    <tableColumn id="10" xr3:uid="{00000000-0010-0000-0000-00000A000000}" name="Marcas_Disponibl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Marcas" displayName="tblMarcas" ref="B3:D28" dataDxfId="14">
  <autoFilter ref="B3:D28" xr:uid="{00000000-0009-0000-0100-000002000000}"/>
  <tableColumns count="3">
    <tableColumn id="2" xr3:uid="{00000000-0010-0000-0100-000002000000}" name="ID_Suministro" dataDxfId="17"/>
    <tableColumn id="3" xr3:uid="{00000000-0010-0000-0100-000003000000}" name="Nombre_Suministro" dataDxfId="16"/>
    <tableColumn id="4" xr3:uid="{00000000-0010-0000-0100-000004000000}" name="Marca" dataDxfId="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Equipos" displayName="tblEquipos" ref="B3:J209">
  <autoFilter ref="B3:J209" xr:uid="{00000000-0009-0000-0100-000003000000}"/>
  <tableColumns count="9">
    <tableColumn id="2" xr3:uid="{00000000-0010-0000-0200-000002000000}" name="Equipo_ID"/>
    <tableColumn id="3" xr3:uid="{00000000-0010-0000-0200-000003000000}" name="Descripcion"/>
    <tableColumn id="4" xr3:uid="{00000000-0010-0000-0200-000004000000}" name="Zona"/>
    <tableColumn id="5" xr3:uid="{00000000-0010-0000-0200-000005000000}" name="Departamento"/>
    <tableColumn id="6" xr3:uid="{00000000-0010-0000-0200-000006000000}" name="Subestacion"/>
    <tableColumn id="7" xr3:uid="{00000000-0010-0000-0200-000007000000}" name="Matricula"/>
    <tableColumn id="8" xr3:uid="{00000000-0010-0000-0200-000008000000}" name="Potencia_KVA"/>
    <tableColumn id="9" xr3:uid="{00000000-0010-0000-0200-000009000000}" name="Grupo"/>
    <tableColumn id="10" xr3:uid="{00000000-0010-0000-0200-00000A000000}" name="Displa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Movimientos" displayName="tblMovimientos" ref="B4:Q5">
  <autoFilter ref="B4:Q5" xr:uid="{00000000-0009-0000-0100-000004000000}"/>
  <tableColumns count="16">
    <tableColumn id="2" xr3:uid="{00000000-0010-0000-0300-000002000000}" name="Año" dataDxfId="13"/>
    <tableColumn id="3" xr3:uid="{00000000-0010-0000-0300-000003000000}" name="Movimiento_ID" dataDxfId="12"/>
    <tableColumn id="4" xr3:uid="{00000000-0010-0000-0300-000004000000}" name="Equipo_ID"/>
    <tableColumn id="5" xr3:uid="{00000000-0010-0000-0300-000005000000}" name="Equipo_Descripcion"/>
    <tableColumn id="6" xr3:uid="{00000000-0010-0000-0300-000006000000}" name="Zona"/>
    <tableColumn id="7" xr3:uid="{00000000-0010-0000-0300-000007000000}" name="Departamento"/>
    <tableColumn id="8" xr3:uid="{00000000-0010-0000-0300-000008000000}" name="Subestacion"/>
    <tableColumn id="9" xr3:uid="{00000000-0010-0000-0300-000009000000}" name="Matricula"/>
    <tableColumn id="10" xr3:uid="{00000000-0010-0000-0300-00000A000000}" name="Suministro_ID"/>
    <tableColumn id="11" xr3:uid="{00000000-0010-0000-0300-00000B000000}" name="Suministro_Nombre"/>
    <tableColumn id="12" xr3:uid="{00000000-0010-0000-0300-00000C000000}" name="Marca"/>
    <tableColumn id="13" xr3:uid="{00000000-0010-0000-0300-00000D000000}" name="Cantidad"/>
    <tableColumn id="14" xr3:uid="{00000000-0010-0000-0300-00000E000000}" name="Tipo"/>
    <tableColumn id="15" xr3:uid="{00000000-0010-0000-0300-00000F000000}" name="Usuario"/>
    <tableColumn id="16" xr3:uid="{00000000-0010-0000-0300-000010000000}" name="Observaciones"/>
    <tableColumn id="1" xr3:uid="{162F4075-CB8C-3D4F-B4A0-4BBBA92DBECE}" name="ODT" dataDxfId="1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E8F6BA3-C05A-774C-85FF-27EAFD93FCAD}">
  <we:reference id="wa200009404" version="1.0.0.8" store="es-CO" storeType="OMEX"/>
  <we:alternateReferences>
    <we:reference id="wa200009404" version="1.0.0.8" store="es-CO" storeType="OMEX"/>
  </we:alternateReferences>
  <we:properties>
    <we:property name="claude.fileId" value="&quot;b43ec351-ac34-47e7-8bd2-35e9c7203e70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2:B42"/>
  <sheetViews>
    <sheetView showGridLines="0" tabSelected="1" workbookViewId="0">
      <selection activeCell="B3" sqref="B3"/>
    </sheetView>
  </sheetViews>
  <sheetFormatPr baseColWidth="10" defaultColWidth="8.83203125" defaultRowHeight="15" x14ac:dyDescent="0.2"/>
  <cols>
    <col min="1" max="1" width="3" customWidth="1"/>
    <col min="2" max="2" width="110" customWidth="1"/>
  </cols>
  <sheetData>
    <row r="2" spans="2:2" ht="32" customHeight="1" x14ac:dyDescent="0.2">
      <c r="B2" s="1" t="s">
        <v>0</v>
      </c>
    </row>
    <row r="3" spans="2:2" x14ac:dyDescent="0.2">
      <c r="B3" s="2" t="s">
        <v>934</v>
      </c>
    </row>
    <row r="5" spans="2:2" ht="22" customHeight="1" x14ac:dyDescent="0.2">
      <c r="B5" s="3" t="s">
        <v>1</v>
      </c>
    </row>
    <row r="6" spans="2:2" x14ac:dyDescent="0.2">
      <c r="B6" s="4" t="s">
        <v>2</v>
      </c>
    </row>
    <row r="7" spans="2:2" x14ac:dyDescent="0.2">
      <c r="B7" s="4" t="s">
        <v>3</v>
      </c>
    </row>
    <row r="8" spans="2:2" x14ac:dyDescent="0.2">
      <c r="B8" s="5" t="s">
        <v>4</v>
      </c>
    </row>
    <row r="9" spans="2:2" x14ac:dyDescent="0.2">
      <c r="B9" s="4"/>
    </row>
    <row r="10" spans="2:2" ht="22" customHeight="1" x14ac:dyDescent="0.2">
      <c r="B10" s="3" t="s">
        <v>5</v>
      </c>
    </row>
    <row r="11" spans="2:2" x14ac:dyDescent="0.2">
      <c r="B11" s="4" t="s">
        <v>6</v>
      </c>
    </row>
    <row r="12" spans="2:2" x14ac:dyDescent="0.2">
      <c r="B12" s="4" t="s">
        <v>7</v>
      </c>
    </row>
    <row r="13" spans="2:2" x14ac:dyDescent="0.2">
      <c r="B13" s="4" t="s">
        <v>8</v>
      </c>
    </row>
    <row r="14" spans="2:2" x14ac:dyDescent="0.2">
      <c r="B14" s="4" t="s">
        <v>9</v>
      </c>
    </row>
    <row r="15" spans="2:2" x14ac:dyDescent="0.2">
      <c r="B15" s="4" t="s">
        <v>10</v>
      </c>
    </row>
    <row r="16" spans="2:2" x14ac:dyDescent="0.2">
      <c r="B16" s="4" t="s">
        <v>11</v>
      </c>
    </row>
    <row r="17" spans="2:2" x14ac:dyDescent="0.2">
      <c r="B17" s="4"/>
    </row>
    <row r="18" spans="2:2" ht="22" customHeight="1" x14ac:dyDescent="0.2">
      <c r="B18" s="3" t="s">
        <v>12</v>
      </c>
    </row>
    <row r="19" spans="2:2" x14ac:dyDescent="0.2">
      <c r="B19" s="4" t="s">
        <v>13</v>
      </c>
    </row>
    <row r="20" spans="2:2" x14ac:dyDescent="0.2">
      <c r="B20" s="4" t="s">
        <v>14</v>
      </c>
    </row>
    <row r="21" spans="2:2" x14ac:dyDescent="0.2">
      <c r="B21" s="4" t="s">
        <v>15</v>
      </c>
    </row>
    <row r="22" spans="2:2" ht="29" x14ac:dyDescent="0.2">
      <c r="B22" s="4" t="s">
        <v>16</v>
      </c>
    </row>
    <row r="23" spans="2:2" x14ac:dyDescent="0.2">
      <c r="B23" s="4" t="s">
        <v>17</v>
      </c>
    </row>
    <row r="24" spans="2:2" x14ac:dyDescent="0.2">
      <c r="B24" s="4" t="s">
        <v>18</v>
      </c>
    </row>
    <row r="25" spans="2:2" x14ac:dyDescent="0.2">
      <c r="B25" s="4"/>
    </row>
    <row r="26" spans="2:2" ht="22" customHeight="1" x14ac:dyDescent="0.2">
      <c r="B26" s="3" t="s">
        <v>19</v>
      </c>
    </row>
    <row r="27" spans="2:2" x14ac:dyDescent="0.2">
      <c r="B27" s="4" t="s">
        <v>20</v>
      </c>
    </row>
    <row r="28" spans="2:2" x14ac:dyDescent="0.2">
      <c r="B28" s="4" t="s">
        <v>21</v>
      </c>
    </row>
    <row r="29" spans="2:2" x14ac:dyDescent="0.2">
      <c r="B29" s="4" t="s">
        <v>22</v>
      </c>
    </row>
    <row r="30" spans="2:2" x14ac:dyDescent="0.2">
      <c r="B30" s="4" t="s">
        <v>23</v>
      </c>
    </row>
    <row r="31" spans="2:2" x14ac:dyDescent="0.2">
      <c r="B31" s="4" t="s">
        <v>24</v>
      </c>
    </row>
    <row r="32" spans="2:2" x14ac:dyDescent="0.2">
      <c r="B32" s="5" t="s">
        <v>25</v>
      </c>
    </row>
    <row r="33" spans="2:2" x14ac:dyDescent="0.2">
      <c r="B33" s="5" t="s">
        <v>26</v>
      </c>
    </row>
    <row r="34" spans="2:2" x14ac:dyDescent="0.2">
      <c r="B34" s="5" t="s">
        <v>27</v>
      </c>
    </row>
    <row r="35" spans="2:2" x14ac:dyDescent="0.2">
      <c r="B35" s="4"/>
    </row>
    <row r="36" spans="2:2" ht="22" customHeight="1" x14ac:dyDescent="0.2">
      <c r="B36" s="3" t="s">
        <v>28</v>
      </c>
    </row>
    <row r="37" spans="2:2" x14ac:dyDescent="0.2">
      <c r="B37" s="4" t="s">
        <v>29</v>
      </c>
    </row>
    <row r="38" spans="2:2" x14ac:dyDescent="0.2">
      <c r="B38" s="4" t="s">
        <v>30</v>
      </c>
    </row>
    <row r="39" spans="2:2" x14ac:dyDescent="0.2">
      <c r="B39" s="5" t="s">
        <v>31</v>
      </c>
    </row>
    <row r="40" spans="2:2" x14ac:dyDescent="0.2">
      <c r="B40" s="5" t="s">
        <v>32</v>
      </c>
    </row>
    <row r="41" spans="2:2" x14ac:dyDescent="0.2">
      <c r="B41" s="5" t="s">
        <v>33</v>
      </c>
    </row>
    <row r="42" spans="2:2" x14ac:dyDescent="0.2">
      <c r="B42" s="4" t="s">
        <v>34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2:J28"/>
  <sheetViews>
    <sheetView showGridLines="0" topLeftCell="A3" zoomScale="110" workbookViewId="0">
      <selection activeCell="J5" sqref="J5:J9"/>
    </sheetView>
  </sheetViews>
  <sheetFormatPr baseColWidth="10" defaultColWidth="8.83203125" defaultRowHeight="15" x14ac:dyDescent="0.2"/>
  <cols>
    <col min="1" max="1" width="3" customWidth="1"/>
    <col min="2" max="2" width="8" customWidth="1"/>
    <col min="3" max="3" width="45" customWidth="1"/>
    <col min="4" max="4" width="10" customWidth="1"/>
    <col min="5" max="5" width="13" customWidth="1"/>
    <col min="6" max="9" width="14" customWidth="1"/>
    <col min="10" max="10" width="28" customWidth="1"/>
  </cols>
  <sheetData>
    <row r="2" spans="2:10" ht="28" customHeight="1" x14ac:dyDescent="0.2">
      <c r="B2" s="55" t="s">
        <v>35</v>
      </c>
      <c r="C2" s="56"/>
      <c r="D2" s="56"/>
      <c r="E2" s="56"/>
      <c r="F2" s="56"/>
      <c r="G2" s="56"/>
      <c r="H2" s="56"/>
      <c r="I2" s="56"/>
      <c r="J2" s="56"/>
    </row>
    <row r="3" spans="2:10" ht="32" customHeight="1" x14ac:dyDescent="0.2">
      <c r="B3" s="6" t="s">
        <v>36</v>
      </c>
      <c r="C3" s="6" t="s">
        <v>37</v>
      </c>
      <c r="D3" s="6" t="s">
        <v>38</v>
      </c>
      <c r="E3" s="6" t="s">
        <v>39</v>
      </c>
      <c r="F3" s="6" t="s">
        <v>40</v>
      </c>
      <c r="G3" s="6" t="s">
        <v>41</v>
      </c>
      <c r="H3" s="6" t="s">
        <v>42</v>
      </c>
      <c r="I3" s="6" t="s">
        <v>43</v>
      </c>
      <c r="J3" s="6" t="s">
        <v>44</v>
      </c>
    </row>
    <row r="4" spans="2:10" x14ac:dyDescent="0.2">
      <c r="B4" s="7" t="s">
        <v>45</v>
      </c>
      <c r="C4" s="8" t="s">
        <v>905</v>
      </c>
      <c r="D4" s="7" t="s">
        <v>46</v>
      </c>
      <c r="E4" s="9">
        <v>0</v>
      </c>
      <c r="F4" s="9">
        <f>SUMIFS(tblMovimientos[Cantidad],tblMovimientos[Suministro_ID],$B4,tblMovimientos[Tipo],"INGRESO")</f>
        <v>0</v>
      </c>
      <c r="G4" s="9">
        <f>SUMIFS(tblMovimientos[Cantidad],tblMovimientos[Suministro_ID],$B4,tblMovimientos[Tipo],"EGRESO")</f>
        <v>0</v>
      </c>
      <c r="H4" s="9">
        <f t="shared" ref="H4:H28" si="0">$E4+$F4-$G4</f>
        <v>0</v>
      </c>
      <c r="I4" s="7" t="str">
        <f t="shared" ref="I4:I28" si="1">IF($H4&lt;=0,"🔴 SIN STOCK",IF($H4&lt;=3,"🟡 BAJO","🟢 OK"))</f>
        <v>🔴 SIN STOCK</v>
      </c>
      <c r="J4" s="7" t="s">
        <v>47</v>
      </c>
    </row>
    <row r="5" spans="2:10" x14ac:dyDescent="0.2">
      <c r="B5" s="7" t="s">
        <v>48</v>
      </c>
      <c r="C5" s="8" t="s">
        <v>906</v>
      </c>
      <c r="D5" s="7" t="s">
        <v>49</v>
      </c>
      <c r="E5" s="9">
        <v>6</v>
      </c>
      <c r="F5" s="9">
        <f>SUMIFS(tblMovimientos[Cantidad],tblMovimientos[Suministro_ID],$B5,tblMovimientos[Tipo],"INGRESO")</f>
        <v>0</v>
      </c>
      <c r="G5" s="9">
        <f>SUMIFS(tblMovimientos[Cantidad],tblMovimientos[Suministro_ID],$B5,tblMovimientos[Tipo],"EGRESO")</f>
        <v>0</v>
      </c>
      <c r="H5" s="9">
        <f t="shared" si="0"/>
        <v>6</v>
      </c>
      <c r="I5" s="7" t="str">
        <f t="shared" si="1"/>
        <v>🟢 OK</v>
      </c>
      <c r="J5" s="7" t="s">
        <v>935</v>
      </c>
    </row>
    <row r="6" spans="2:10" x14ac:dyDescent="0.2">
      <c r="B6" s="7" t="s">
        <v>51</v>
      </c>
      <c r="C6" s="8" t="s">
        <v>932</v>
      </c>
      <c r="D6" s="7" t="s">
        <v>49</v>
      </c>
      <c r="E6" s="9">
        <v>36</v>
      </c>
      <c r="F6" s="9">
        <f>SUMIFS(tblMovimientos[Cantidad],tblMovimientos[Suministro_ID],$B6,tblMovimientos[Tipo],"INGRESO")</f>
        <v>0</v>
      </c>
      <c r="G6" s="9">
        <f>SUMIFS(tblMovimientos[Cantidad],tblMovimientos[Suministro_ID],$B6,tblMovimientos[Tipo],"EGRESO")</f>
        <v>0</v>
      </c>
      <c r="H6" s="9">
        <f t="shared" si="0"/>
        <v>36</v>
      </c>
      <c r="I6" s="7" t="str">
        <f t="shared" si="1"/>
        <v>🟢 OK</v>
      </c>
      <c r="J6" s="7" t="s">
        <v>50</v>
      </c>
    </row>
    <row r="7" spans="2:10" x14ac:dyDescent="0.2">
      <c r="B7" s="7" t="s">
        <v>52</v>
      </c>
      <c r="C7" s="8" t="s">
        <v>933</v>
      </c>
      <c r="D7" s="7" t="s">
        <v>49</v>
      </c>
      <c r="E7" s="9">
        <v>32</v>
      </c>
      <c r="F7" s="9">
        <f>SUMIFS(tblMovimientos[Cantidad],tblMovimientos[Suministro_ID],$B7,tblMovimientos[Tipo],"INGRESO")</f>
        <v>0</v>
      </c>
      <c r="G7" s="9">
        <f>SUMIFS(tblMovimientos[Cantidad],tblMovimientos[Suministro_ID],$B7,tblMovimientos[Tipo],"EGRESO")</f>
        <v>0</v>
      </c>
      <c r="H7" s="9">
        <f t="shared" si="0"/>
        <v>32</v>
      </c>
      <c r="I7" s="7" t="str">
        <f t="shared" si="1"/>
        <v>🟢 OK</v>
      </c>
      <c r="J7" s="7" t="s">
        <v>50</v>
      </c>
    </row>
    <row r="8" spans="2:10" x14ac:dyDescent="0.2">
      <c r="B8" s="7" t="s">
        <v>53</v>
      </c>
      <c r="C8" s="8" t="s">
        <v>907</v>
      </c>
      <c r="D8" s="7" t="s">
        <v>49</v>
      </c>
      <c r="E8" s="9">
        <v>0</v>
      </c>
      <c r="F8" s="9">
        <f>SUMIFS(tblMovimientos[Cantidad],tblMovimientos[Suministro_ID],$B8,tblMovimientos[Tipo],"INGRESO")</f>
        <v>0</v>
      </c>
      <c r="G8" s="9">
        <f>SUMIFS(tblMovimientos[Cantidad],tblMovimientos[Suministro_ID],$B8,tblMovimientos[Tipo],"EGRESO")</f>
        <v>0</v>
      </c>
      <c r="H8" s="9">
        <f t="shared" si="0"/>
        <v>0</v>
      </c>
      <c r="I8" s="7" t="str">
        <f t="shared" si="1"/>
        <v>🔴 SIN STOCK</v>
      </c>
      <c r="J8" s="7" t="s">
        <v>50</v>
      </c>
    </row>
    <row r="9" spans="2:10" x14ac:dyDescent="0.2">
      <c r="B9" s="7" t="s">
        <v>54</v>
      </c>
      <c r="C9" s="8" t="s">
        <v>908</v>
      </c>
      <c r="D9" s="7" t="s">
        <v>55</v>
      </c>
      <c r="E9" s="9">
        <v>1</v>
      </c>
      <c r="F9" s="9">
        <f>SUMIFS(tblMovimientos[Cantidad],tblMovimientos[Suministro_ID],$B9,tblMovimientos[Tipo],"INGRESO")</f>
        <v>0</v>
      </c>
      <c r="G9" s="9">
        <f>SUMIFS(tblMovimientos[Cantidad],tblMovimientos[Suministro_ID],$B9,tblMovimientos[Tipo],"EGRESO")</f>
        <v>0</v>
      </c>
      <c r="H9" s="9">
        <f t="shared" si="0"/>
        <v>1</v>
      </c>
      <c r="I9" s="7" t="str">
        <f t="shared" si="1"/>
        <v>🟡 BAJO</v>
      </c>
      <c r="J9" s="7" t="s">
        <v>936</v>
      </c>
    </row>
    <row r="10" spans="2:10" x14ac:dyDescent="0.2">
      <c r="B10" s="7" t="s">
        <v>56</v>
      </c>
      <c r="C10" s="8" t="s">
        <v>909</v>
      </c>
      <c r="D10" s="7" t="s">
        <v>49</v>
      </c>
      <c r="E10" s="9">
        <v>0</v>
      </c>
      <c r="F10" s="9">
        <f>SUMIFS(tblMovimientos[Cantidad],tblMovimientos[Suministro_ID],$B10,tblMovimientos[Tipo],"INGRESO")</f>
        <v>0</v>
      </c>
      <c r="G10" s="9">
        <f>SUMIFS(tblMovimientos[Cantidad],tblMovimientos[Suministro_ID],$B10,tblMovimientos[Tipo],"EGRESO")</f>
        <v>0</v>
      </c>
      <c r="H10" s="9">
        <f t="shared" si="0"/>
        <v>0</v>
      </c>
      <c r="I10" s="7" t="str">
        <f t="shared" si="1"/>
        <v>🔴 SIN STOCK</v>
      </c>
      <c r="J10" s="7" t="s">
        <v>57</v>
      </c>
    </row>
    <row r="11" spans="2:10" x14ac:dyDescent="0.2">
      <c r="B11" s="7" t="s">
        <v>58</v>
      </c>
      <c r="C11" s="8" t="s">
        <v>910</v>
      </c>
      <c r="D11" s="7" t="s">
        <v>59</v>
      </c>
      <c r="E11" s="9">
        <v>0</v>
      </c>
      <c r="F11" s="9">
        <f>SUMIFS(tblMovimientos[Cantidad],tblMovimientos[Suministro_ID],$B11,tblMovimientos[Tipo],"INGRESO")</f>
        <v>0</v>
      </c>
      <c r="G11" s="9">
        <f>SUMIFS(tblMovimientos[Cantidad],tblMovimientos[Suministro_ID],$B11,tblMovimientos[Tipo],"EGRESO")</f>
        <v>0</v>
      </c>
      <c r="H11" s="9">
        <f t="shared" si="0"/>
        <v>0</v>
      </c>
      <c r="I11" s="7" t="str">
        <f t="shared" si="1"/>
        <v>🔴 SIN STOCK</v>
      </c>
      <c r="J11" s="7" t="s">
        <v>47</v>
      </c>
    </row>
    <row r="12" spans="2:10" x14ac:dyDescent="0.2">
      <c r="B12" s="7" t="s">
        <v>60</v>
      </c>
      <c r="C12" s="8" t="s">
        <v>911</v>
      </c>
      <c r="D12" s="7" t="s">
        <v>49</v>
      </c>
      <c r="E12" s="9">
        <v>0</v>
      </c>
      <c r="F12" s="9">
        <f>SUMIFS(tblMovimientos[Cantidad],tblMovimientos[Suministro_ID],$B12,tblMovimientos[Tipo],"INGRESO")</f>
        <v>0</v>
      </c>
      <c r="G12" s="9">
        <f>SUMIFS(tblMovimientos[Cantidad],tblMovimientos[Suministro_ID],$B12,tblMovimientos[Tipo],"EGRESO")</f>
        <v>0</v>
      </c>
      <c r="H12" s="9">
        <f t="shared" si="0"/>
        <v>0</v>
      </c>
      <c r="I12" s="7" t="str">
        <f t="shared" si="1"/>
        <v>🔴 SIN STOCK</v>
      </c>
      <c r="J12" s="7" t="s">
        <v>61</v>
      </c>
    </row>
    <row r="13" spans="2:10" x14ac:dyDescent="0.2">
      <c r="B13" s="7" t="s">
        <v>62</v>
      </c>
      <c r="C13" s="8" t="s">
        <v>912</v>
      </c>
      <c r="D13" s="7" t="s">
        <v>49</v>
      </c>
      <c r="E13" s="9">
        <v>0</v>
      </c>
      <c r="F13" s="9">
        <f>SUMIFS(tblMovimientos[Cantidad],tblMovimientos[Suministro_ID],$B13,tblMovimientos[Tipo],"INGRESO")</f>
        <v>0</v>
      </c>
      <c r="G13" s="9">
        <f>SUMIFS(tblMovimientos[Cantidad],tblMovimientos[Suministro_ID],$B13,tblMovimientos[Tipo],"EGRESO")</f>
        <v>0</v>
      </c>
      <c r="H13" s="9">
        <f t="shared" si="0"/>
        <v>0</v>
      </c>
      <c r="I13" s="7" t="str">
        <f t="shared" si="1"/>
        <v>🔴 SIN STOCK</v>
      </c>
      <c r="J13" s="7" t="s">
        <v>57</v>
      </c>
    </row>
    <row r="14" spans="2:10" x14ac:dyDescent="0.2">
      <c r="B14" s="7" t="s">
        <v>63</v>
      </c>
      <c r="C14" s="8" t="s">
        <v>913</v>
      </c>
      <c r="D14" s="7" t="s">
        <v>49</v>
      </c>
      <c r="E14" s="9">
        <v>425</v>
      </c>
      <c r="F14" s="9">
        <f>SUMIFS(tblMovimientos[Cantidad],tblMovimientos[Suministro_ID],$B14,tblMovimientos[Tipo],"INGRESO")</f>
        <v>0</v>
      </c>
      <c r="G14" s="9">
        <f>SUMIFS(tblMovimientos[Cantidad],tblMovimientos[Suministro_ID],$B14,tblMovimientos[Tipo],"EGRESO")</f>
        <v>0</v>
      </c>
      <c r="H14" s="9">
        <f t="shared" si="0"/>
        <v>425</v>
      </c>
      <c r="I14" s="7" t="str">
        <f t="shared" si="1"/>
        <v>🟢 OK</v>
      </c>
      <c r="J14" s="7" t="s">
        <v>47</v>
      </c>
    </row>
    <row r="15" spans="2:10" x14ac:dyDescent="0.2">
      <c r="B15" s="7" t="s">
        <v>64</v>
      </c>
      <c r="C15" s="8" t="s">
        <v>914</v>
      </c>
      <c r="D15" s="7" t="s">
        <v>49</v>
      </c>
      <c r="E15" s="9">
        <v>13</v>
      </c>
      <c r="F15" s="9">
        <f>SUMIFS(tblMovimientos[Cantidad],tblMovimientos[Suministro_ID],$B15,tblMovimientos[Tipo],"INGRESO")</f>
        <v>0</v>
      </c>
      <c r="G15" s="9">
        <f>SUMIFS(tblMovimientos[Cantidad],tblMovimientos[Suministro_ID],$B15,tblMovimientos[Tipo],"EGRESO")</f>
        <v>0</v>
      </c>
      <c r="H15" s="9">
        <f t="shared" si="0"/>
        <v>13</v>
      </c>
      <c r="I15" s="7" t="str">
        <f t="shared" si="1"/>
        <v>🟢 OK</v>
      </c>
      <c r="J15" s="7" t="s">
        <v>57</v>
      </c>
    </row>
    <row r="16" spans="2:10" x14ac:dyDescent="0.2">
      <c r="B16" s="7" t="s">
        <v>65</v>
      </c>
      <c r="C16" s="8" t="s">
        <v>915</v>
      </c>
      <c r="D16" s="7" t="s">
        <v>49</v>
      </c>
      <c r="E16" s="9">
        <v>1</v>
      </c>
      <c r="F16" s="9">
        <f>SUMIFS(tblMovimientos[Cantidad],tblMovimientos[Suministro_ID],$B16,tblMovimientos[Tipo],"INGRESO")</f>
        <v>0</v>
      </c>
      <c r="G16" s="9">
        <f>SUMIFS(tblMovimientos[Cantidad],tblMovimientos[Suministro_ID],$B16,tblMovimientos[Tipo],"EGRESO")</f>
        <v>0</v>
      </c>
      <c r="H16" s="9">
        <f t="shared" si="0"/>
        <v>1</v>
      </c>
      <c r="I16" s="7" t="str">
        <f t="shared" si="1"/>
        <v>🟡 BAJO</v>
      </c>
      <c r="J16" s="7" t="s">
        <v>57</v>
      </c>
    </row>
    <row r="17" spans="2:10" x14ac:dyDescent="0.2">
      <c r="B17" s="7" t="s">
        <v>66</v>
      </c>
      <c r="C17" s="8" t="s">
        <v>916</v>
      </c>
      <c r="D17" s="7" t="s">
        <v>49</v>
      </c>
      <c r="E17" s="9">
        <v>0</v>
      </c>
      <c r="F17" s="9">
        <f>SUMIFS(tblMovimientos[Cantidad],tblMovimientos[Suministro_ID],$B17,tblMovimientos[Tipo],"INGRESO")</f>
        <v>0</v>
      </c>
      <c r="G17" s="9">
        <f>SUMIFS(tblMovimientos[Cantidad],tblMovimientos[Suministro_ID],$B17,tblMovimientos[Tipo],"EGRESO")</f>
        <v>0</v>
      </c>
      <c r="H17" s="9">
        <f t="shared" si="0"/>
        <v>0</v>
      </c>
      <c r="I17" s="7" t="str">
        <f t="shared" si="1"/>
        <v>🔴 SIN STOCK</v>
      </c>
      <c r="J17" s="7" t="s">
        <v>57</v>
      </c>
    </row>
    <row r="18" spans="2:10" x14ac:dyDescent="0.2">
      <c r="B18" s="7" t="s">
        <v>67</v>
      </c>
      <c r="C18" s="8" t="s">
        <v>917</v>
      </c>
      <c r="D18" s="7" t="s">
        <v>49</v>
      </c>
      <c r="E18" s="9">
        <v>0</v>
      </c>
      <c r="F18" s="9">
        <f>SUMIFS(tblMovimientos[Cantidad],tblMovimientos[Suministro_ID],$B18,tblMovimientos[Tipo],"INGRESO")</f>
        <v>0</v>
      </c>
      <c r="G18" s="9">
        <f>SUMIFS(tblMovimientos[Cantidad],tblMovimientos[Suministro_ID],$B18,tblMovimientos[Tipo],"EGRESO")</f>
        <v>0</v>
      </c>
      <c r="H18" s="9">
        <f t="shared" si="0"/>
        <v>0</v>
      </c>
      <c r="I18" s="7" t="str">
        <f t="shared" si="1"/>
        <v>🔴 SIN STOCK</v>
      </c>
      <c r="J18" s="7" t="s">
        <v>57</v>
      </c>
    </row>
    <row r="19" spans="2:10" x14ac:dyDescent="0.2">
      <c r="B19" s="7" t="s">
        <v>68</v>
      </c>
      <c r="C19" s="8" t="s">
        <v>918</v>
      </c>
      <c r="D19" s="7" t="s">
        <v>49</v>
      </c>
      <c r="E19" s="9">
        <v>6</v>
      </c>
      <c r="F19" s="9">
        <f>SUMIFS(tblMovimientos[Cantidad],tblMovimientos[Suministro_ID],$B19,tblMovimientos[Tipo],"INGRESO")</f>
        <v>0</v>
      </c>
      <c r="G19" s="9">
        <f>SUMIFS(tblMovimientos[Cantidad],tblMovimientos[Suministro_ID],$B19,tblMovimientos[Tipo],"EGRESO")</f>
        <v>0</v>
      </c>
      <c r="H19" s="9">
        <f t="shared" si="0"/>
        <v>6</v>
      </c>
      <c r="I19" s="7" t="str">
        <f t="shared" si="1"/>
        <v>🟢 OK</v>
      </c>
      <c r="J19" s="7" t="s">
        <v>47</v>
      </c>
    </row>
    <row r="20" spans="2:10" x14ac:dyDescent="0.2">
      <c r="B20" s="7" t="s">
        <v>69</v>
      </c>
      <c r="C20" s="8" t="s">
        <v>919</v>
      </c>
      <c r="D20" s="7" t="s">
        <v>49</v>
      </c>
      <c r="E20" s="9">
        <v>6</v>
      </c>
      <c r="F20" s="9">
        <f>SUMIFS(tblMovimientos[Cantidad],tblMovimientos[Suministro_ID],$B20,tblMovimientos[Tipo],"INGRESO")</f>
        <v>0</v>
      </c>
      <c r="G20" s="9">
        <f>SUMIFS(tblMovimientos[Cantidad],tblMovimientos[Suministro_ID],$B20,tblMovimientos[Tipo],"EGRESO")</f>
        <v>0</v>
      </c>
      <c r="H20" s="9">
        <f t="shared" si="0"/>
        <v>6</v>
      </c>
      <c r="I20" s="7" t="str">
        <f t="shared" si="1"/>
        <v>🟢 OK</v>
      </c>
      <c r="J20" s="7" t="s">
        <v>61</v>
      </c>
    </row>
    <row r="21" spans="2:10" x14ac:dyDescent="0.2">
      <c r="B21" s="7" t="s">
        <v>70</v>
      </c>
      <c r="C21" s="8" t="s">
        <v>920</v>
      </c>
      <c r="D21" s="7" t="s">
        <v>49</v>
      </c>
      <c r="E21" s="9">
        <v>0</v>
      </c>
      <c r="F21" s="9">
        <f>SUMIFS(tblMovimientos[Cantidad],tblMovimientos[Suministro_ID],$B21,tblMovimientos[Tipo],"INGRESO")</f>
        <v>0</v>
      </c>
      <c r="G21" s="9">
        <f>SUMIFS(tblMovimientos[Cantidad],tblMovimientos[Suministro_ID],$B21,tblMovimientos[Tipo],"EGRESO")</f>
        <v>0</v>
      </c>
      <c r="H21" s="9">
        <f t="shared" si="0"/>
        <v>0</v>
      </c>
      <c r="I21" s="7" t="str">
        <f t="shared" si="1"/>
        <v>🔴 SIN STOCK</v>
      </c>
      <c r="J21" s="7" t="s">
        <v>57</v>
      </c>
    </row>
    <row r="22" spans="2:10" x14ac:dyDescent="0.2">
      <c r="B22" s="7" t="s">
        <v>71</v>
      </c>
      <c r="C22" s="8" t="s">
        <v>921</v>
      </c>
      <c r="D22" s="7" t="s">
        <v>49</v>
      </c>
      <c r="E22" s="9">
        <v>4</v>
      </c>
      <c r="F22" s="9">
        <f>SUMIFS(tblMovimientos[Cantidad],tblMovimientos[Suministro_ID],$B22,tblMovimientos[Tipo],"INGRESO")</f>
        <v>0</v>
      </c>
      <c r="G22" s="9">
        <f>SUMIFS(tblMovimientos[Cantidad],tblMovimientos[Suministro_ID],$B22,tblMovimientos[Tipo],"EGRESO")</f>
        <v>0</v>
      </c>
      <c r="H22" s="9">
        <f t="shared" si="0"/>
        <v>4</v>
      </c>
      <c r="I22" s="7" t="str">
        <f t="shared" si="1"/>
        <v>🟢 OK</v>
      </c>
      <c r="J22" s="7" t="s">
        <v>47</v>
      </c>
    </row>
    <row r="23" spans="2:10" x14ac:dyDescent="0.2">
      <c r="B23" s="7" t="s">
        <v>72</v>
      </c>
      <c r="C23" s="8" t="s">
        <v>922</v>
      </c>
      <c r="D23" s="7" t="s">
        <v>49</v>
      </c>
      <c r="E23" s="9">
        <v>8</v>
      </c>
      <c r="F23" s="9">
        <f>SUMIFS(tblMovimientos[Cantidad],tblMovimientos[Suministro_ID],$B23,tblMovimientos[Tipo],"INGRESO")</f>
        <v>0</v>
      </c>
      <c r="G23" s="9">
        <f>SUMIFS(tblMovimientos[Cantidad],tblMovimientos[Suministro_ID],$B23,tblMovimientos[Tipo],"EGRESO")</f>
        <v>0</v>
      </c>
      <c r="H23" s="9">
        <f t="shared" si="0"/>
        <v>8</v>
      </c>
      <c r="I23" s="7" t="str">
        <f t="shared" si="1"/>
        <v>🟢 OK</v>
      </c>
      <c r="J23" s="7" t="s">
        <v>47</v>
      </c>
    </row>
    <row r="24" spans="2:10" x14ac:dyDescent="0.2">
      <c r="B24" s="7" t="s">
        <v>73</v>
      </c>
      <c r="C24" s="8" t="s">
        <v>923</v>
      </c>
      <c r="D24" s="7" t="s">
        <v>49</v>
      </c>
      <c r="E24" s="9">
        <v>6</v>
      </c>
      <c r="F24" s="9">
        <f>SUMIFS(tblMovimientos[Cantidad],tblMovimientos[Suministro_ID],$B24,tblMovimientos[Tipo],"INGRESO")</f>
        <v>0</v>
      </c>
      <c r="G24" s="9">
        <f>SUMIFS(tblMovimientos[Cantidad],tblMovimientos[Suministro_ID],$B24,tblMovimientos[Tipo],"EGRESO")</f>
        <v>0</v>
      </c>
      <c r="H24" s="9">
        <f t="shared" si="0"/>
        <v>6</v>
      </c>
      <c r="I24" s="7" t="str">
        <f t="shared" si="1"/>
        <v>🟢 OK</v>
      </c>
      <c r="J24" s="7" t="s">
        <v>47</v>
      </c>
    </row>
    <row r="25" spans="2:10" x14ac:dyDescent="0.2">
      <c r="B25" s="7" t="s">
        <v>74</v>
      </c>
      <c r="C25" s="8" t="s">
        <v>924</v>
      </c>
      <c r="D25" s="7" t="s">
        <v>49</v>
      </c>
      <c r="E25" s="9">
        <v>0</v>
      </c>
      <c r="F25" s="9">
        <f>SUMIFS(tblMovimientos[Cantidad],tblMovimientos[Suministro_ID],$B25,tblMovimientos[Tipo],"INGRESO")</f>
        <v>0</v>
      </c>
      <c r="G25" s="9">
        <f>SUMIFS(tblMovimientos[Cantidad],tblMovimientos[Suministro_ID],$B25,tblMovimientos[Tipo],"EGRESO")</f>
        <v>0</v>
      </c>
      <c r="H25" s="9">
        <f t="shared" si="0"/>
        <v>0</v>
      </c>
      <c r="I25" s="7" t="str">
        <f t="shared" si="1"/>
        <v>🔴 SIN STOCK</v>
      </c>
      <c r="J25" s="7" t="s">
        <v>57</v>
      </c>
    </row>
    <row r="26" spans="2:10" x14ac:dyDescent="0.2">
      <c r="B26" s="7" t="s">
        <v>928</v>
      </c>
      <c r="C26" s="8" t="s">
        <v>925</v>
      </c>
      <c r="D26" s="7" t="s">
        <v>49</v>
      </c>
      <c r="E26" s="9">
        <v>3</v>
      </c>
      <c r="F26" s="9">
        <f>SUMIFS(tblMovimientos[Cantidad],tblMovimientos[Suministro_ID],$B26,tblMovimientos[Tipo],"INGRESO")</f>
        <v>0</v>
      </c>
      <c r="G26" s="9">
        <f>SUMIFS(tblMovimientos[Cantidad],tblMovimientos[Suministro_ID],$B26,tblMovimientos[Tipo],"EGRESO")</f>
        <v>0</v>
      </c>
      <c r="H26" s="9">
        <f t="shared" si="0"/>
        <v>3</v>
      </c>
      <c r="I26" s="7" t="str">
        <f t="shared" si="1"/>
        <v>🟡 BAJO</v>
      </c>
      <c r="J26" s="7" t="s">
        <v>61</v>
      </c>
    </row>
    <row r="27" spans="2:10" x14ac:dyDescent="0.2">
      <c r="B27" s="7" t="s">
        <v>929</v>
      </c>
      <c r="C27" s="8" t="s">
        <v>926</v>
      </c>
      <c r="D27" s="7" t="s">
        <v>49</v>
      </c>
      <c r="E27" s="9">
        <v>3</v>
      </c>
      <c r="F27" s="9">
        <f>SUMIFS(tblMovimientos[Cantidad],tblMovimientos[Suministro_ID],$B27,tblMovimientos[Tipo],"INGRESO")</f>
        <v>0</v>
      </c>
      <c r="G27" s="9">
        <f>SUMIFS(tblMovimientos[Cantidad],tblMovimientos[Suministro_ID],$B27,tblMovimientos[Tipo],"EGRESO")</f>
        <v>0</v>
      </c>
      <c r="H27" s="9">
        <f t="shared" si="0"/>
        <v>3</v>
      </c>
      <c r="I27" s="7" t="str">
        <f t="shared" si="1"/>
        <v>🟡 BAJO</v>
      </c>
      <c r="J27" s="7" t="s">
        <v>61</v>
      </c>
    </row>
    <row r="28" spans="2:10" x14ac:dyDescent="0.2">
      <c r="B28" s="7" t="s">
        <v>930</v>
      </c>
      <c r="C28" s="8" t="s">
        <v>927</v>
      </c>
      <c r="D28" s="7" t="s">
        <v>49</v>
      </c>
      <c r="E28" s="9">
        <v>6</v>
      </c>
      <c r="F28" s="9">
        <f>SUMIFS(tblMovimientos[Cantidad],tblMovimientos[Suministro_ID],$B28,tblMovimientos[Tipo],"INGRESO")</f>
        <v>0</v>
      </c>
      <c r="G28" s="9">
        <f>SUMIFS(tblMovimientos[Cantidad],tblMovimientos[Suministro_ID],$B28,tblMovimientos[Tipo],"EGRESO")</f>
        <v>0</v>
      </c>
      <c r="H28" s="9">
        <f t="shared" si="0"/>
        <v>6</v>
      </c>
      <c r="I28" s="7" t="str">
        <f t="shared" si="1"/>
        <v>🟢 OK</v>
      </c>
      <c r="J28" s="7" t="s">
        <v>931</v>
      </c>
    </row>
  </sheetData>
  <mergeCells count="1">
    <mergeCell ref="B2:J2"/>
  </mergeCells>
  <phoneticPr fontId="34" type="noConversion"/>
  <conditionalFormatting sqref="I4:I28">
    <cfRule type="expression" dxfId="10" priority="1">
      <formula>ISNUMBER(SEARCH("🔴",$I4))</formula>
    </cfRule>
    <cfRule type="expression" dxfId="9" priority="2">
      <formula>ISNUMBER(SEARCH("🟡",$I4))</formula>
    </cfRule>
    <cfRule type="expression" dxfId="8" priority="3">
      <formula>ISNUMBER(SEARCH("🟢",$I4))</formula>
    </cfRule>
  </conditionalFormatting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2:D28"/>
  <sheetViews>
    <sheetView showGridLines="0" workbookViewId="0">
      <selection activeCell="I13" sqref="I13"/>
    </sheetView>
  </sheetViews>
  <sheetFormatPr baseColWidth="10" defaultColWidth="8.83203125" defaultRowHeight="15" x14ac:dyDescent="0.2"/>
  <cols>
    <col min="1" max="1" width="3" customWidth="1"/>
    <col min="2" max="2" width="17.6640625" bestFit="1" customWidth="1"/>
    <col min="3" max="3" width="37.6640625" bestFit="1" customWidth="1"/>
    <col min="4" max="4" width="18.83203125" bestFit="1" customWidth="1"/>
  </cols>
  <sheetData>
    <row r="2" spans="2:4" ht="26" customHeight="1" x14ac:dyDescent="0.2">
      <c r="B2" s="57" t="s">
        <v>75</v>
      </c>
      <c r="C2" s="56"/>
      <c r="D2" s="56"/>
    </row>
    <row r="3" spans="2:4" x14ac:dyDescent="0.2">
      <c r="B3" s="10" t="s">
        <v>76</v>
      </c>
      <c r="C3" s="10" t="s">
        <v>77</v>
      </c>
      <c r="D3" s="10" t="s">
        <v>78</v>
      </c>
    </row>
    <row r="4" spans="2:4" x14ac:dyDescent="0.2">
      <c r="B4" s="7" t="s">
        <v>45</v>
      </c>
      <c r="C4" s="7" t="s">
        <v>905</v>
      </c>
      <c r="D4" s="7" t="s">
        <v>47</v>
      </c>
    </row>
    <row r="5" spans="2:4" x14ac:dyDescent="0.2">
      <c r="B5" s="7" t="s">
        <v>48</v>
      </c>
      <c r="C5" s="7" t="s">
        <v>906</v>
      </c>
      <c r="D5" s="7" t="s">
        <v>935</v>
      </c>
    </row>
    <row r="6" spans="2:4" x14ac:dyDescent="0.2">
      <c r="B6" s="7" t="s">
        <v>51</v>
      </c>
      <c r="C6" s="7" t="s">
        <v>932</v>
      </c>
      <c r="D6" s="7" t="s">
        <v>50</v>
      </c>
    </row>
    <row r="7" spans="2:4" x14ac:dyDescent="0.2">
      <c r="B7" s="7" t="s">
        <v>52</v>
      </c>
      <c r="C7" s="7" t="s">
        <v>933</v>
      </c>
      <c r="D7" s="7" t="s">
        <v>50</v>
      </c>
    </row>
    <row r="8" spans="2:4" x14ac:dyDescent="0.2">
      <c r="B8" s="7" t="s">
        <v>53</v>
      </c>
      <c r="C8" s="7" t="s">
        <v>907</v>
      </c>
      <c r="D8" s="7" t="s">
        <v>50</v>
      </c>
    </row>
    <row r="9" spans="2:4" x14ac:dyDescent="0.2">
      <c r="B9" s="7" t="s">
        <v>54</v>
      </c>
      <c r="C9" s="7" t="s">
        <v>908</v>
      </c>
      <c r="D9" s="7" t="s">
        <v>936</v>
      </c>
    </row>
    <row r="10" spans="2:4" x14ac:dyDescent="0.2">
      <c r="B10" s="7" t="s">
        <v>56</v>
      </c>
      <c r="C10" s="7" t="s">
        <v>909</v>
      </c>
      <c r="D10" s="7" t="s">
        <v>57</v>
      </c>
    </row>
    <row r="11" spans="2:4" x14ac:dyDescent="0.2">
      <c r="B11" s="7" t="s">
        <v>58</v>
      </c>
      <c r="C11" s="7" t="s">
        <v>910</v>
      </c>
      <c r="D11" s="7" t="s">
        <v>47</v>
      </c>
    </row>
    <row r="12" spans="2:4" x14ac:dyDescent="0.2">
      <c r="B12" s="7" t="s">
        <v>60</v>
      </c>
      <c r="C12" s="7" t="s">
        <v>911</v>
      </c>
      <c r="D12" s="7" t="s">
        <v>61</v>
      </c>
    </row>
    <row r="13" spans="2:4" x14ac:dyDescent="0.2">
      <c r="B13" s="7" t="s">
        <v>62</v>
      </c>
      <c r="C13" s="7" t="s">
        <v>912</v>
      </c>
      <c r="D13" s="7" t="s">
        <v>57</v>
      </c>
    </row>
    <row r="14" spans="2:4" x14ac:dyDescent="0.2">
      <c r="B14" s="7" t="s">
        <v>63</v>
      </c>
      <c r="C14" s="7" t="s">
        <v>913</v>
      </c>
      <c r="D14" s="7" t="s">
        <v>47</v>
      </c>
    </row>
    <row r="15" spans="2:4" x14ac:dyDescent="0.2">
      <c r="B15" s="7" t="s">
        <v>64</v>
      </c>
      <c r="C15" s="7" t="s">
        <v>914</v>
      </c>
      <c r="D15" s="7" t="s">
        <v>57</v>
      </c>
    </row>
    <row r="16" spans="2:4" x14ac:dyDescent="0.2">
      <c r="B16" s="7" t="s">
        <v>65</v>
      </c>
      <c r="C16" s="7" t="s">
        <v>915</v>
      </c>
      <c r="D16" s="7" t="s">
        <v>57</v>
      </c>
    </row>
    <row r="17" spans="2:4" x14ac:dyDescent="0.2">
      <c r="B17" s="7" t="s">
        <v>66</v>
      </c>
      <c r="C17" s="7" t="s">
        <v>916</v>
      </c>
      <c r="D17" s="7" t="s">
        <v>57</v>
      </c>
    </row>
    <row r="18" spans="2:4" x14ac:dyDescent="0.2">
      <c r="B18" s="7" t="s">
        <v>67</v>
      </c>
      <c r="C18" s="7" t="s">
        <v>917</v>
      </c>
      <c r="D18" s="7" t="s">
        <v>57</v>
      </c>
    </row>
    <row r="19" spans="2:4" x14ac:dyDescent="0.2">
      <c r="B19" s="7" t="s">
        <v>68</v>
      </c>
      <c r="C19" s="7" t="s">
        <v>918</v>
      </c>
      <c r="D19" s="7" t="s">
        <v>47</v>
      </c>
    </row>
    <row r="20" spans="2:4" x14ac:dyDescent="0.2">
      <c r="B20" s="7" t="s">
        <v>69</v>
      </c>
      <c r="C20" s="7" t="s">
        <v>919</v>
      </c>
      <c r="D20" s="7" t="s">
        <v>61</v>
      </c>
    </row>
    <row r="21" spans="2:4" x14ac:dyDescent="0.2">
      <c r="B21" s="7" t="s">
        <v>70</v>
      </c>
      <c r="C21" s="7" t="s">
        <v>920</v>
      </c>
      <c r="D21" s="7" t="s">
        <v>57</v>
      </c>
    </row>
    <row r="22" spans="2:4" x14ac:dyDescent="0.2">
      <c r="B22" s="7" t="s">
        <v>71</v>
      </c>
      <c r="C22" s="7" t="s">
        <v>921</v>
      </c>
      <c r="D22" s="7" t="s">
        <v>47</v>
      </c>
    </row>
    <row r="23" spans="2:4" x14ac:dyDescent="0.2">
      <c r="B23" s="7" t="s">
        <v>72</v>
      </c>
      <c r="C23" s="7" t="s">
        <v>922</v>
      </c>
      <c r="D23" s="7" t="s">
        <v>47</v>
      </c>
    </row>
    <row r="24" spans="2:4" x14ac:dyDescent="0.2">
      <c r="B24" s="7" t="s">
        <v>73</v>
      </c>
      <c r="C24" s="7" t="s">
        <v>923</v>
      </c>
      <c r="D24" s="7" t="s">
        <v>47</v>
      </c>
    </row>
    <row r="25" spans="2:4" x14ac:dyDescent="0.2">
      <c r="B25" s="7" t="s">
        <v>74</v>
      </c>
      <c r="C25" s="7" t="s">
        <v>924</v>
      </c>
      <c r="D25" s="7" t="s">
        <v>57</v>
      </c>
    </row>
    <row r="26" spans="2:4" x14ac:dyDescent="0.2">
      <c r="B26" s="7" t="s">
        <v>928</v>
      </c>
      <c r="C26" s="7" t="s">
        <v>925</v>
      </c>
      <c r="D26" s="93" t="s">
        <v>61</v>
      </c>
    </row>
    <row r="27" spans="2:4" x14ac:dyDescent="0.2">
      <c r="B27" s="7" t="s">
        <v>929</v>
      </c>
      <c r="C27" s="7" t="s">
        <v>926</v>
      </c>
      <c r="D27" s="93" t="s">
        <v>61</v>
      </c>
    </row>
    <row r="28" spans="2:4" x14ac:dyDescent="0.2">
      <c r="B28" s="7" t="s">
        <v>930</v>
      </c>
      <c r="C28" s="7" t="s">
        <v>927</v>
      </c>
      <c r="D28" s="93" t="s">
        <v>931</v>
      </c>
    </row>
  </sheetData>
  <mergeCells count="1">
    <mergeCell ref="B2:D2"/>
  </mergeCells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Y2"/>
  <sheetViews>
    <sheetView workbookViewId="0"/>
  </sheetViews>
  <sheetFormatPr baseColWidth="10" defaultColWidth="8.83203125" defaultRowHeight="15" x14ac:dyDescent="0.2"/>
  <sheetData>
    <row r="1" spans="1:25" x14ac:dyDescent="0.2">
      <c r="A1" s="102" t="s">
        <v>45</v>
      </c>
      <c r="B1" s="102" t="s">
        <v>48</v>
      </c>
      <c r="C1" s="102" t="s">
        <v>51</v>
      </c>
      <c r="D1" s="102" t="s">
        <v>52</v>
      </c>
      <c r="E1" s="102" t="s">
        <v>53</v>
      </c>
      <c r="F1" s="102" t="s">
        <v>54</v>
      </c>
      <c r="G1" s="102" t="s">
        <v>56</v>
      </c>
      <c r="H1" s="102" t="s">
        <v>58</v>
      </c>
      <c r="I1" s="102" t="s">
        <v>60</v>
      </c>
      <c r="J1" s="102" t="s">
        <v>62</v>
      </c>
      <c r="K1" s="102" t="s">
        <v>63</v>
      </c>
      <c r="L1" s="102" t="s">
        <v>64</v>
      </c>
      <c r="M1" s="102" t="s">
        <v>65</v>
      </c>
      <c r="N1" s="102" t="s">
        <v>66</v>
      </c>
      <c r="O1" s="102" t="s">
        <v>67</v>
      </c>
      <c r="P1" s="102" t="s">
        <v>68</v>
      </c>
      <c r="Q1" s="102" t="s">
        <v>69</v>
      </c>
      <c r="R1" s="102" t="s">
        <v>70</v>
      </c>
      <c r="S1" s="102" t="s">
        <v>71</v>
      </c>
      <c r="T1" s="102" t="s">
        <v>72</v>
      </c>
      <c r="U1" s="102" t="s">
        <v>73</v>
      </c>
      <c r="V1" s="102" t="s">
        <v>74</v>
      </c>
      <c r="W1" s="102" t="s">
        <v>928</v>
      </c>
      <c r="X1" s="102" t="s">
        <v>929</v>
      </c>
      <c r="Y1" s="102" t="s">
        <v>930</v>
      </c>
    </row>
    <row r="2" spans="1:25" x14ac:dyDescent="0.2">
      <c r="B2" t="s">
        <v>935</v>
      </c>
      <c r="C2" t="s">
        <v>50</v>
      </c>
      <c r="D2" t="s">
        <v>50</v>
      </c>
      <c r="E2" t="s">
        <v>50</v>
      </c>
      <c r="F2" t="s">
        <v>936</v>
      </c>
      <c r="G2" t="s">
        <v>57</v>
      </c>
      <c r="I2" t="s">
        <v>61</v>
      </c>
      <c r="J2" t="s">
        <v>57</v>
      </c>
      <c r="L2" t="s">
        <v>57</v>
      </c>
      <c r="M2" t="s">
        <v>57</v>
      </c>
      <c r="N2" t="s">
        <v>57</v>
      </c>
      <c r="O2" t="s">
        <v>57</v>
      </c>
      <c r="Q2" t="s">
        <v>61</v>
      </c>
      <c r="R2" t="s">
        <v>57</v>
      </c>
      <c r="V2" t="s">
        <v>57</v>
      </c>
      <c r="W2" t="s">
        <v>61</v>
      </c>
      <c r="X2" t="s">
        <v>61</v>
      </c>
      <c r="Y2" t="s">
        <v>931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B2:J209"/>
  <sheetViews>
    <sheetView showGridLines="0" topLeftCell="A167" workbookViewId="0"/>
  </sheetViews>
  <sheetFormatPr baseColWidth="10" defaultColWidth="8.83203125" defaultRowHeight="15" x14ac:dyDescent="0.2"/>
  <cols>
    <col min="1" max="1" width="3" customWidth="1"/>
    <col min="2" max="2" width="16" customWidth="1"/>
    <col min="3" max="3" width="40" customWidth="1"/>
    <col min="4" max="5" width="13" customWidth="1"/>
    <col min="6" max="7" width="18" customWidth="1"/>
    <col min="8" max="8" width="13" customWidth="1"/>
    <col min="9" max="9" width="10" customWidth="1"/>
    <col min="10" max="10" width="35" customWidth="1"/>
  </cols>
  <sheetData>
    <row r="2" spans="2:10" ht="28" customHeight="1" x14ac:dyDescent="0.2">
      <c r="B2" s="55" t="s">
        <v>79</v>
      </c>
      <c r="C2" s="56"/>
      <c r="D2" s="56"/>
      <c r="E2" s="56"/>
      <c r="F2" s="56"/>
      <c r="G2" s="56"/>
      <c r="H2" s="56"/>
      <c r="I2" s="56"/>
      <c r="J2" s="56"/>
    </row>
    <row r="3" spans="2:10" ht="24" customHeight="1" x14ac:dyDescent="0.2">
      <c r="B3" s="10" t="s">
        <v>80</v>
      </c>
      <c r="C3" s="10" t="s">
        <v>81</v>
      </c>
      <c r="D3" s="10" t="s">
        <v>82</v>
      </c>
      <c r="E3" s="10" t="s">
        <v>83</v>
      </c>
      <c r="F3" s="10" t="s">
        <v>84</v>
      </c>
      <c r="G3" s="10" t="s">
        <v>85</v>
      </c>
      <c r="H3" s="10" t="s">
        <v>86</v>
      </c>
      <c r="I3" s="10" t="s">
        <v>87</v>
      </c>
      <c r="J3" s="10" t="s">
        <v>88</v>
      </c>
    </row>
    <row r="4" spans="2:10" x14ac:dyDescent="0.2">
      <c r="B4" s="11" t="s">
        <v>89</v>
      </c>
      <c r="C4" s="11" t="s">
        <v>90</v>
      </c>
      <c r="D4" s="11" t="s">
        <v>91</v>
      </c>
      <c r="E4" s="11" t="s">
        <v>92</v>
      </c>
      <c r="F4" s="11" t="s">
        <v>93</v>
      </c>
      <c r="G4" s="11" t="s">
        <v>89</v>
      </c>
      <c r="H4" s="12">
        <v>2000</v>
      </c>
      <c r="I4" s="11" t="s">
        <v>94</v>
      </c>
      <c r="J4" s="11" t="s">
        <v>95</v>
      </c>
    </row>
    <row r="5" spans="2:10" x14ac:dyDescent="0.2">
      <c r="B5" s="11" t="s">
        <v>96</v>
      </c>
      <c r="C5" s="11" t="s">
        <v>97</v>
      </c>
      <c r="D5" s="11" t="s">
        <v>91</v>
      </c>
      <c r="E5" s="11" t="s">
        <v>98</v>
      </c>
      <c r="F5" s="11" t="s">
        <v>99</v>
      </c>
      <c r="G5" s="11" t="s">
        <v>96</v>
      </c>
      <c r="H5" s="12">
        <v>6500</v>
      </c>
      <c r="I5" s="11" t="s">
        <v>94</v>
      </c>
      <c r="J5" s="11" t="s">
        <v>100</v>
      </c>
    </row>
    <row r="6" spans="2:10" x14ac:dyDescent="0.2">
      <c r="B6" s="11" t="s">
        <v>101</v>
      </c>
      <c r="C6" s="11" t="s">
        <v>102</v>
      </c>
      <c r="D6" s="11" t="s">
        <v>103</v>
      </c>
      <c r="E6" s="11" t="s">
        <v>103</v>
      </c>
      <c r="F6" s="11" t="s">
        <v>104</v>
      </c>
      <c r="G6" s="11" t="s">
        <v>101</v>
      </c>
      <c r="H6" s="12">
        <v>500</v>
      </c>
      <c r="I6" s="11" t="s">
        <v>94</v>
      </c>
      <c r="J6" s="11" t="s">
        <v>105</v>
      </c>
    </row>
    <row r="7" spans="2:10" x14ac:dyDescent="0.2">
      <c r="B7" s="11" t="s">
        <v>106</v>
      </c>
      <c r="C7" s="11" t="s">
        <v>107</v>
      </c>
      <c r="D7" s="11" t="s">
        <v>91</v>
      </c>
      <c r="E7" s="11" t="s">
        <v>98</v>
      </c>
      <c r="F7" s="11" t="s">
        <v>108</v>
      </c>
      <c r="G7" s="11" t="s">
        <v>106</v>
      </c>
      <c r="H7" s="12">
        <v>2000</v>
      </c>
      <c r="I7" s="11" t="s">
        <v>94</v>
      </c>
      <c r="J7" s="11" t="s">
        <v>109</v>
      </c>
    </row>
    <row r="8" spans="2:10" x14ac:dyDescent="0.2">
      <c r="B8" s="11" t="s">
        <v>110</v>
      </c>
      <c r="C8" s="11" t="s">
        <v>111</v>
      </c>
      <c r="D8" s="11" t="s">
        <v>91</v>
      </c>
      <c r="E8" s="11" t="s">
        <v>92</v>
      </c>
      <c r="F8" s="11" t="s">
        <v>112</v>
      </c>
      <c r="G8" s="11" t="s">
        <v>110</v>
      </c>
      <c r="H8" s="12">
        <v>2500</v>
      </c>
      <c r="I8" s="11" t="s">
        <v>94</v>
      </c>
      <c r="J8" s="11" t="s">
        <v>113</v>
      </c>
    </row>
    <row r="9" spans="2:10" x14ac:dyDescent="0.2">
      <c r="B9" s="11" t="s">
        <v>114</v>
      </c>
      <c r="C9" s="11" t="s">
        <v>115</v>
      </c>
      <c r="D9" s="11" t="s">
        <v>91</v>
      </c>
      <c r="E9" s="11" t="s">
        <v>92</v>
      </c>
      <c r="F9" s="11" t="s">
        <v>116</v>
      </c>
      <c r="G9" s="11" t="s">
        <v>114</v>
      </c>
      <c r="H9" s="12">
        <v>10000</v>
      </c>
      <c r="I9" s="11" t="s">
        <v>94</v>
      </c>
      <c r="J9" s="11" t="s">
        <v>117</v>
      </c>
    </row>
    <row r="10" spans="2:10" x14ac:dyDescent="0.2">
      <c r="B10" s="11" t="s">
        <v>118</v>
      </c>
      <c r="C10" s="11" t="s">
        <v>119</v>
      </c>
      <c r="D10" s="11" t="s">
        <v>120</v>
      </c>
      <c r="E10" s="11" t="s">
        <v>121</v>
      </c>
      <c r="F10" s="11" t="s">
        <v>122</v>
      </c>
      <c r="G10" s="11" t="s">
        <v>118</v>
      </c>
      <c r="H10" s="12">
        <v>6500</v>
      </c>
      <c r="I10" s="11" t="s">
        <v>94</v>
      </c>
      <c r="J10" s="11" t="s">
        <v>123</v>
      </c>
    </row>
    <row r="11" spans="2:10" x14ac:dyDescent="0.2">
      <c r="B11" s="11" t="s">
        <v>124</v>
      </c>
      <c r="C11" s="11" t="s">
        <v>125</v>
      </c>
      <c r="D11" s="11" t="s">
        <v>91</v>
      </c>
      <c r="E11" s="11" t="s">
        <v>103</v>
      </c>
      <c r="F11" s="11" t="s">
        <v>126</v>
      </c>
      <c r="G11" s="11" t="s">
        <v>124</v>
      </c>
      <c r="H11" s="12">
        <v>6000</v>
      </c>
      <c r="I11" s="11" t="s">
        <v>94</v>
      </c>
      <c r="J11" s="11" t="s">
        <v>127</v>
      </c>
    </row>
    <row r="12" spans="2:10" x14ac:dyDescent="0.2">
      <c r="B12" s="11" t="s">
        <v>128</v>
      </c>
      <c r="C12" s="11" t="s">
        <v>129</v>
      </c>
      <c r="D12" s="11" t="s">
        <v>103</v>
      </c>
      <c r="E12" s="11" t="s">
        <v>103</v>
      </c>
      <c r="F12" s="11" t="s">
        <v>130</v>
      </c>
      <c r="G12" s="11" t="s">
        <v>128</v>
      </c>
      <c r="H12" s="12">
        <v>60000</v>
      </c>
      <c r="I12" s="11" t="s">
        <v>131</v>
      </c>
      <c r="J12" s="11" t="s">
        <v>132</v>
      </c>
    </row>
    <row r="13" spans="2:10" x14ac:dyDescent="0.2">
      <c r="B13" s="11" t="s">
        <v>133</v>
      </c>
      <c r="C13" s="11" t="s">
        <v>134</v>
      </c>
      <c r="D13" s="11" t="s">
        <v>91</v>
      </c>
      <c r="E13" s="11" t="s">
        <v>92</v>
      </c>
      <c r="F13" s="11" t="s">
        <v>135</v>
      </c>
      <c r="G13" s="11" t="s">
        <v>133</v>
      </c>
      <c r="H13" s="12">
        <v>6500</v>
      </c>
      <c r="I13" s="11" t="s">
        <v>94</v>
      </c>
      <c r="J13" s="11" t="s">
        <v>136</v>
      </c>
    </row>
    <row r="14" spans="2:10" x14ac:dyDescent="0.2">
      <c r="B14" s="11" t="s">
        <v>137</v>
      </c>
      <c r="C14" s="11" t="s">
        <v>138</v>
      </c>
      <c r="D14" s="11" t="s">
        <v>120</v>
      </c>
      <c r="E14" s="11" t="s">
        <v>139</v>
      </c>
      <c r="F14" s="11" t="s">
        <v>140</v>
      </c>
      <c r="G14" s="11" t="s">
        <v>137</v>
      </c>
      <c r="H14" s="12">
        <v>6500</v>
      </c>
      <c r="I14" s="11" t="s">
        <v>94</v>
      </c>
      <c r="J14" s="11" t="s">
        <v>141</v>
      </c>
    </row>
    <row r="15" spans="2:10" x14ac:dyDescent="0.2">
      <c r="B15" s="11" t="s">
        <v>142</v>
      </c>
      <c r="C15" s="11" t="s">
        <v>143</v>
      </c>
      <c r="D15" s="11" t="s">
        <v>103</v>
      </c>
      <c r="E15" s="11" t="s">
        <v>103</v>
      </c>
      <c r="F15" s="11" t="s">
        <v>144</v>
      </c>
      <c r="G15" s="11" t="s">
        <v>142</v>
      </c>
      <c r="H15" s="12">
        <v>33000</v>
      </c>
      <c r="I15" s="11" t="s">
        <v>145</v>
      </c>
      <c r="J15" s="11" t="s">
        <v>146</v>
      </c>
    </row>
    <row r="16" spans="2:10" x14ac:dyDescent="0.2">
      <c r="B16" s="11" t="s">
        <v>147</v>
      </c>
      <c r="C16" s="11" t="s">
        <v>143</v>
      </c>
      <c r="D16" s="11" t="s">
        <v>103</v>
      </c>
      <c r="E16" s="11" t="s">
        <v>103</v>
      </c>
      <c r="F16" s="11" t="s">
        <v>144</v>
      </c>
      <c r="G16" s="11" t="s">
        <v>147</v>
      </c>
      <c r="H16" s="12">
        <v>33000</v>
      </c>
      <c r="I16" s="11" t="s">
        <v>145</v>
      </c>
      <c r="J16" s="11" t="s">
        <v>148</v>
      </c>
    </row>
    <row r="17" spans="2:10" x14ac:dyDescent="0.2">
      <c r="B17" s="11" t="s">
        <v>149</v>
      </c>
      <c r="C17" s="11" t="s">
        <v>150</v>
      </c>
      <c r="D17" s="11" t="s">
        <v>120</v>
      </c>
      <c r="E17" s="11" t="s">
        <v>121</v>
      </c>
      <c r="F17" s="11" t="s">
        <v>151</v>
      </c>
      <c r="G17" s="11" t="s">
        <v>149</v>
      </c>
      <c r="H17" s="12">
        <v>3000</v>
      </c>
      <c r="I17" s="11" t="s">
        <v>94</v>
      </c>
      <c r="J17" s="11" t="s">
        <v>152</v>
      </c>
    </row>
    <row r="18" spans="2:10" x14ac:dyDescent="0.2">
      <c r="B18" s="11" t="s">
        <v>153</v>
      </c>
      <c r="C18" s="11" t="s">
        <v>154</v>
      </c>
      <c r="D18" s="11" t="s">
        <v>91</v>
      </c>
      <c r="E18" s="11" t="s">
        <v>92</v>
      </c>
      <c r="F18" s="11" t="s">
        <v>155</v>
      </c>
      <c r="G18" s="11" t="s">
        <v>153</v>
      </c>
      <c r="H18" s="12">
        <v>14000</v>
      </c>
      <c r="I18" s="11" t="s">
        <v>94</v>
      </c>
      <c r="J18" s="11" t="s">
        <v>156</v>
      </c>
    </row>
    <row r="19" spans="2:10" x14ac:dyDescent="0.2">
      <c r="B19" s="11" t="s">
        <v>157</v>
      </c>
      <c r="C19" s="11" t="s">
        <v>158</v>
      </c>
      <c r="D19" s="11" t="s">
        <v>103</v>
      </c>
      <c r="E19" s="11" t="s">
        <v>103</v>
      </c>
      <c r="F19" s="11" t="s">
        <v>159</v>
      </c>
      <c r="G19" s="11" t="s">
        <v>157</v>
      </c>
      <c r="H19" s="12">
        <v>33000</v>
      </c>
      <c r="I19" s="11" t="s">
        <v>145</v>
      </c>
      <c r="J19" s="11" t="s">
        <v>160</v>
      </c>
    </row>
    <row r="20" spans="2:10" x14ac:dyDescent="0.2">
      <c r="B20" s="11" t="s">
        <v>161</v>
      </c>
      <c r="C20" s="11" t="s">
        <v>162</v>
      </c>
      <c r="D20" s="11" t="s">
        <v>103</v>
      </c>
      <c r="E20" s="11" t="s">
        <v>103</v>
      </c>
      <c r="F20" s="11" t="s">
        <v>159</v>
      </c>
      <c r="G20" s="11" t="s">
        <v>161</v>
      </c>
      <c r="H20" s="12">
        <v>40000</v>
      </c>
      <c r="I20" s="11" t="s">
        <v>131</v>
      </c>
      <c r="J20" s="11" t="s">
        <v>163</v>
      </c>
    </row>
    <row r="21" spans="2:10" x14ac:dyDescent="0.2">
      <c r="B21" s="11" t="s">
        <v>164</v>
      </c>
      <c r="C21" s="11" t="s">
        <v>165</v>
      </c>
      <c r="D21" s="11" t="s">
        <v>103</v>
      </c>
      <c r="E21" s="11" t="s">
        <v>103</v>
      </c>
      <c r="F21" s="11" t="s">
        <v>159</v>
      </c>
      <c r="G21" s="11" t="s">
        <v>164</v>
      </c>
      <c r="H21" s="12">
        <v>30000</v>
      </c>
      <c r="I21" s="11" t="s">
        <v>145</v>
      </c>
      <c r="J21" s="11" t="s">
        <v>166</v>
      </c>
    </row>
    <row r="22" spans="2:10" x14ac:dyDescent="0.2">
      <c r="B22" s="11" t="s">
        <v>167</v>
      </c>
      <c r="C22" s="11" t="s">
        <v>168</v>
      </c>
      <c r="D22" s="11" t="s">
        <v>103</v>
      </c>
      <c r="E22" s="11" t="s">
        <v>103</v>
      </c>
      <c r="F22" s="11" t="s">
        <v>159</v>
      </c>
      <c r="G22" s="11" t="s">
        <v>167</v>
      </c>
      <c r="H22" s="12">
        <v>150000</v>
      </c>
      <c r="I22" s="11" t="s">
        <v>131</v>
      </c>
      <c r="J22" s="11" t="s">
        <v>169</v>
      </c>
    </row>
    <row r="23" spans="2:10" x14ac:dyDescent="0.2">
      <c r="B23" s="11" t="s">
        <v>170</v>
      </c>
      <c r="C23" s="11" t="s">
        <v>171</v>
      </c>
      <c r="D23" s="11" t="s">
        <v>120</v>
      </c>
      <c r="E23" s="11" t="s">
        <v>139</v>
      </c>
      <c r="F23" s="11" t="s">
        <v>172</v>
      </c>
      <c r="G23" s="11" t="s">
        <v>170</v>
      </c>
      <c r="H23" s="12">
        <v>60000</v>
      </c>
      <c r="I23" s="11" t="s">
        <v>131</v>
      </c>
      <c r="J23" s="11" t="s">
        <v>173</v>
      </c>
    </row>
    <row r="24" spans="2:10" x14ac:dyDescent="0.2">
      <c r="B24" s="11" t="s">
        <v>174</v>
      </c>
      <c r="C24" s="11" t="s">
        <v>175</v>
      </c>
      <c r="D24" s="11" t="s">
        <v>120</v>
      </c>
      <c r="E24" s="11" t="s">
        <v>121</v>
      </c>
      <c r="F24" s="11" t="s">
        <v>176</v>
      </c>
      <c r="G24" s="11" t="s">
        <v>174</v>
      </c>
      <c r="H24" s="12">
        <v>5000</v>
      </c>
      <c r="I24" s="11" t="s">
        <v>94</v>
      </c>
      <c r="J24" s="11" t="s">
        <v>177</v>
      </c>
    </row>
    <row r="25" spans="2:10" x14ac:dyDescent="0.2">
      <c r="B25" s="11" t="s">
        <v>178</v>
      </c>
      <c r="C25" s="11" t="s">
        <v>179</v>
      </c>
      <c r="D25" s="11" t="s">
        <v>103</v>
      </c>
      <c r="E25" s="11" t="s">
        <v>103</v>
      </c>
      <c r="F25" s="11" t="s">
        <v>180</v>
      </c>
      <c r="G25" s="11" t="s">
        <v>178</v>
      </c>
      <c r="H25" s="12">
        <v>12000</v>
      </c>
      <c r="I25" s="11" t="s">
        <v>94</v>
      </c>
      <c r="J25" s="11" t="s">
        <v>181</v>
      </c>
    </row>
    <row r="26" spans="2:10" x14ac:dyDescent="0.2">
      <c r="B26" s="11" t="s">
        <v>182</v>
      </c>
      <c r="C26" s="11" t="s">
        <v>179</v>
      </c>
      <c r="D26" s="11" t="s">
        <v>103</v>
      </c>
      <c r="E26" s="11" t="s">
        <v>103</v>
      </c>
      <c r="F26" s="11" t="s">
        <v>180</v>
      </c>
      <c r="G26" s="11" t="s">
        <v>182</v>
      </c>
      <c r="H26" s="12">
        <v>12000</v>
      </c>
      <c r="I26" s="11" t="s">
        <v>94</v>
      </c>
      <c r="J26" s="11" t="s">
        <v>183</v>
      </c>
    </row>
    <row r="27" spans="2:10" x14ac:dyDescent="0.2">
      <c r="B27" s="11" t="s">
        <v>184</v>
      </c>
      <c r="C27" s="11" t="s">
        <v>185</v>
      </c>
      <c r="D27" s="11" t="s">
        <v>103</v>
      </c>
      <c r="E27" s="11" t="s">
        <v>103</v>
      </c>
      <c r="F27" s="11" t="s">
        <v>186</v>
      </c>
      <c r="G27" s="11" t="s">
        <v>184</v>
      </c>
      <c r="H27" s="12">
        <v>100000</v>
      </c>
      <c r="I27" s="11" t="s">
        <v>131</v>
      </c>
      <c r="J27" s="11" t="s">
        <v>187</v>
      </c>
    </row>
    <row r="28" spans="2:10" x14ac:dyDescent="0.2">
      <c r="B28" s="11" t="s">
        <v>188</v>
      </c>
      <c r="C28" s="11" t="s">
        <v>189</v>
      </c>
      <c r="D28" s="11" t="s">
        <v>103</v>
      </c>
      <c r="E28" s="11" t="s">
        <v>103</v>
      </c>
      <c r="F28" s="11" t="s">
        <v>186</v>
      </c>
      <c r="G28" s="11" t="s">
        <v>188</v>
      </c>
      <c r="H28" s="12">
        <v>150000</v>
      </c>
      <c r="I28" s="11" t="s">
        <v>131</v>
      </c>
      <c r="J28" s="11" t="s">
        <v>190</v>
      </c>
    </row>
    <row r="29" spans="2:10" x14ac:dyDescent="0.2">
      <c r="B29" s="11" t="s">
        <v>191</v>
      </c>
      <c r="C29" s="11" t="s">
        <v>192</v>
      </c>
      <c r="D29" s="11" t="s">
        <v>103</v>
      </c>
      <c r="E29" s="11" t="s">
        <v>103</v>
      </c>
      <c r="F29" s="11" t="s">
        <v>186</v>
      </c>
      <c r="G29" s="11" t="s">
        <v>191</v>
      </c>
      <c r="H29" s="12">
        <v>30000</v>
      </c>
      <c r="I29" s="11" t="s">
        <v>145</v>
      </c>
      <c r="J29" s="11" t="s">
        <v>193</v>
      </c>
    </row>
    <row r="30" spans="2:10" x14ac:dyDescent="0.2">
      <c r="B30" s="11" t="s">
        <v>194</v>
      </c>
      <c r="C30" s="11" t="s">
        <v>195</v>
      </c>
      <c r="D30" s="11" t="s">
        <v>103</v>
      </c>
      <c r="E30" s="11" t="s">
        <v>103</v>
      </c>
      <c r="F30" s="11" t="s">
        <v>196</v>
      </c>
      <c r="G30" s="11" t="s">
        <v>194</v>
      </c>
      <c r="H30" s="12">
        <v>2000</v>
      </c>
      <c r="I30" s="11" t="s">
        <v>94</v>
      </c>
      <c r="J30" s="11" t="s">
        <v>197</v>
      </c>
    </row>
    <row r="31" spans="2:10" x14ac:dyDescent="0.2">
      <c r="B31" s="11" t="s">
        <v>198</v>
      </c>
      <c r="C31" s="11" t="s">
        <v>199</v>
      </c>
      <c r="D31" s="11" t="s">
        <v>91</v>
      </c>
      <c r="E31" s="11" t="s">
        <v>92</v>
      </c>
      <c r="F31" s="11" t="s">
        <v>200</v>
      </c>
      <c r="G31" s="11" t="s">
        <v>198</v>
      </c>
      <c r="H31" s="12">
        <v>2000</v>
      </c>
      <c r="I31" s="11" t="s">
        <v>94</v>
      </c>
      <c r="J31" s="11" t="s">
        <v>201</v>
      </c>
    </row>
    <row r="32" spans="2:10" x14ac:dyDescent="0.2">
      <c r="B32" s="11" t="s">
        <v>198</v>
      </c>
      <c r="C32" s="11" t="s">
        <v>202</v>
      </c>
      <c r="D32" s="11" t="s">
        <v>91</v>
      </c>
      <c r="E32" s="11" t="s">
        <v>92</v>
      </c>
      <c r="F32" s="11" t="s">
        <v>203</v>
      </c>
      <c r="G32" s="11" t="s">
        <v>198</v>
      </c>
      <c r="H32" s="12">
        <v>5000</v>
      </c>
      <c r="I32" s="11" t="s">
        <v>94</v>
      </c>
      <c r="J32" s="11" t="s">
        <v>204</v>
      </c>
    </row>
    <row r="33" spans="2:10" x14ac:dyDescent="0.2">
      <c r="B33" s="11" t="s">
        <v>205</v>
      </c>
      <c r="C33" s="11" t="s">
        <v>206</v>
      </c>
      <c r="D33" s="11" t="s">
        <v>120</v>
      </c>
      <c r="E33" s="11" t="s">
        <v>121</v>
      </c>
      <c r="F33" s="11" t="s">
        <v>207</v>
      </c>
      <c r="G33" s="11" t="s">
        <v>205</v>
      </c>
      <c r="H33" s="12">
        <v>2000</v>
      </c>
      <c r="I33" s="11" t="s">
        <v>94</v>
      </c>
      <c r="J33" s="11" t="s">
        <v>208</v>
      </c>
    </row>
    <row r="34" spans="2:10" x14ac:dyDescent="0.2">
      <c r="B34" s="11" t="s">
        <v>209</v>
      </c>
      <c r="C34" s="11" t="s">
        <v>210</v>
      </c>
      <c r="D34" s="11" t="s">
        <v>120</v>
      </c>
      <c r="E34" s="11" t="s">
        <v>121</v>
      </c>
      <c r="F34" s="11" t="s">
        <v>211</v>
      </c>
      <c r="G34" s="11" t="s">
        <v>209</v>
      </c>
      <c r="H34" s="12">
        <v>20000</v>
      </c>
      <c r="I34" s="11" t="s">
        <v>145</v>
      </c>
      <c r="J34" s="11" t="s">
        <v>212</v>
      </c>
    </row>
    <row r="35" spans="2:10" x14ac:dyDescent="0.2">
      <c r="B35" s="11" t="s">
        <v>213</v>
      </c>
      <c r="C35" s="11" t="s">
        <v>214</v>
      </c>
      <c r="D35" s="11" t="s">
        <v>120</v>
      </c>
      <c r="E35" s="11" t="s">
        <v>121</v>
      </c>
      <c r="F35" s="11" t="s">
        <v>211</v>
      </c>
      <c r="G35" s="11" t="s">
        <v>213</v>
      </c>
      <c r="H35" s="12">
        <v>15000</v>
      </c>
      <c r="I35" s="11" t="s">
        <v>94</v>
      </c>
      <c r="J35" s="11" t="s">
        <v>215</v>
      </c>
    </row>
    <row r="36" spans="2:10" x14ac:dyDescent="0.2">
      <c r="B36" s="11" t="s">
        <v>216</v>
      </c>
      <c r="C36" s="11" t="s">
        <v>217</v>
      </c>
      <c r="D36" s="11" t="s">
        <v>120</v>
      </c>
      <c r="E36" s="11" t="s">
        <v>121</v>
      </c>
      <c r="F36" s="11" t="s">
        <v>211</v>
      </c>
      <c r="G36" s="11" t="s">
        <v>216</v>
      </c>
      <c r="H36" s="12">
        <v>30000</v>
      </c>
      <c r="I36" s="11" t="s">
        <v>145</v>
      </c>
      <c r="J36" s="11" t="s">
        <v>218</v>
      </c>
    </row>
    <row r="37" spans="2:10" x14ac:dyDescent="0.2">
      <c r="B37" s="11" t="s">
        <v>219</v>
      </c>
      <c r="C37" s="11" t="s">
        <v>217</v>
      </c>
      <c r="D37" s="11" t="s">
        <v>120</v>
      </c>
      <c r="E37" s="11" t="s">
        <v>121</v>
      </c>
      <c r="F37" s="11" t="s">
        <v>211</v>
      </c>
      <c r="G37" s="11" t="s">
        <v>219</v>
      </c>
      <c r="H37" s="12">
        <v>30000</v>
      </c>
      <c r="I37" s="11" t="s">
        <v>145</v>
      </c>
      <c r="J37" s="11" t="s">
        <v>220</v>
      </c>
    </row>
    <row r="38" spans="2:10" x14ac:dyDescent="0.2">
      <c r="B38" s="11" t="s">
        <v>221</v>
      </c>
      <c r="C38" s="11" t="s">
        <v>222</v>
      </c>
      <c r="D38" s="11" t="s">
        <v>103</v>
      </c>
      <c r="E38" s="11" t="s">
        <v>103</v>
      </c>
      <c r="F38" s="11" t="s">
        <v>223</v>
      </c>
      <c r="G38" s="11" t="s">
        <v>221</v>
      </c>
      <c r="H38" s="12">
        <v>50000</v>
      </c>
      <c r="I38" s="11" t="s">
        <v>131</v>
      </c>
      <c r="J38" s="11" t="s">
        <v>224</v>
      </c>
    </row>
    <row r="39" spans="2:10" x14ac:dyDescent="0.2">
      <c r="B39" s="11" t="s">
        <v>225</v>
      </c>
      <c r="C39" s="11" t="s">
        <v>222</v>
      </c>
      <c r="D39" s="11" t="s">
        <v>103</v>
      </c>
      <c r="E39" s="11" t="s">
        <v>103</v>
      </c>
      <c r="F39" s="11" t="s">
        <v>223</v>
      </c>
      <c r="G39" s="11" t="s">
        <v>225</v>
      </c>
      <c r="H39" s="12">
        <v>50000</v>
      </c>
      <c r="I39" s="11" t="s">
        <v>131</v>
      </c>
      <c r="J39" s="11" t="s">
        <v>226</v>
      </c>
    </row>
    <row r="40" spans="2:10" x14ac:dyDescent="0.2">
      <c r="B40" s="11" t="s">
        <v>227</v>
      </c>
      <c r="C40" s="11" t="s">
        <v>228</v>
      </c>
      <c r="D40" s="11" t="s">
        <v>120</v>
      </c>
      <c r="E40" s="11" t="s">
        <v>121</v>
      </c>
      <c r="F40" s="11" t="s">
        <v>229</v>
      </c>
      <c r="G40" s="11" t="s">
        <v>227</v>
      </c>
      <c r="H40" s="12">
        <v>20000</v>
      </c>
      <c r="I40" s="11" t="s">
        <v>145</v>
      </c>
      <c r="J40" s="11" t="s">
        <v>230</v>
      </c>
    </row>
    <row r="41" spans="2:10" x14ac:dyDescent="0.2">
      <c r="B41" s="11" t="s">
        <v>231</v>
      </c>
      <c r="C41" s="11" t="s">
        <v>232</v>
      </c>
      <c r="D41" s="11" t="s">
        <v>120</v>
      </c>
      <c r="E41" s="11" t="s">
        <v>121</v>
      </c>
      <c r="F41" s="11" t="s">
        <v>229</v>
      </c>
      <c r="G41" s="11" t="s">
        <v>231</v>
      </c>
      <c r="H41" s="12">
        <v>60000</v>
      </c>
      <c r="I41" s="11" t="s">
        <v>131</v>
      </c>
      <c r="J41" s="11" t="s">
        <v>233</v>
      </c>
    </row>
    <row r="42" spans="2:10" x14ac:dyDescent="0.2">
      <c r="B42" s="11" t="s">
        <v>234</v>
      </c>
      <c r="C42" s="11" t="s">
        <v>232</v>
      </c>
      <c r="D42" s="11" t="s">
        <v>120</v>
      </c>
      <c r="E42" s="11" t="s">
        <v>121</v>
      </c>
      <c r="F42" s="11" t="s">
        <v>229</v>
      </c>
      <c r="G42" s="11" t="s">
        <v>234</v>
      </c>
      <c r="H42" s="12">
        <v>60000</v>
      </c>
      <c r="I42" s="11" t="s">
        <v>131</v>
      </c>
      <c r="J42" s="11" t="s">
        <v>235</v>
      </c>
    </row>
    <row r="43" spans="2:10" x14ac:dyDescent="0.2">
      <c r="B43" s="11" t="s">
        <v>236</v>
      </c>
      <c r="C43" s="11" t="s">
        <v>237</v>
      </c>
      <c r="D43" s="11" t="s">
        <v>91</v>
      </c>
      <c r="E43" s="11" t="s">
        <v>92</v>
      </c>
      <c r="F43" s="11" t="s">
        <v>238</v>
      </c>
      <c r="G43" s="11" t="s">
        <v>236</v>
      </c>
      <c r="H43" s="12">
        <v>12500</v>
      </c>
      <c r="I43" s="11" t="s">
        <v>94</v>
      </c>
      <c r="J43" s="11" t="s">
        <v>239</v>
      </c>
    </row>
    <row r="44" spans="2:10" x14ac:dyDescent="0.2">
      <c r="B44" s="11" t="s">
        <v>240</v>
      </c>
      <c r="C44" s="11" t="s">
        <v>241</v>
      </c>
      <c r="D44" s="11" t="s">
        <v>120</v>
      </c>
      <c r="E44" s="11" t="s">
        <v>121</v>
      </c>
      <c r="F44" s="11" t="s">
        <v>242</v>
      </c>
      <c r="G44" s="11" t="s">
        <v>240</v>
      </c>
      <c r="H44" s="12">
        <v>6500</v>
      </c>
      <c r="I44" s="11" t="s">
        <v>94</v>
      </c>
      <c r="J44" s="11" t="s">
        <v>243</v>
      </c>
    </row>
    <row r="45" spans="2:10" x14ac:dyDescent="0.2">
      <c r="B45" s="11" t="s">
        <v>244</v>
      </c>
      <c r="C45" s="11" t="s">
        <v>241</v>
      </c>
      <c r="D45" s="11" t="s">
        <v>120</v>
      </c>
      <c r="E45" s="11" t="s">
        <v>121</v>
      </c>
      <c r="F45" s="11" t="s">
        <v>242</v>
      </c>
      <c r="G45" s="11" t="s">
        <v>244</v>
      </c>
      <c r="H45" s="12">
        <v>6500</v>
      </c>
      <c r="I45" s="11" t="s">
        <v>94</v>
      </c>
      <c r="J45" s="11" t="s">
        <v>245</v>
      </c>
    </row>
    <row r="46" spans="2:10" x14ac:dyDescent="0.2">
      <c r="B46" s="11" t="s">
        <v>246</v>
      </c>
      <c r="C46" s="11" t="s">
        <v>247</v>
      </c>
      <c r="D46" s="11" t="s">
        <v>91</v>
      </c>
      <c r="E46" s="11" t="s">
        <v>92</v>
      </c>
      <c r="F46" s="11" t="s">
        <v>248</v>
      </c>
      <c r="G46" s="11" t="s">
        <v>246</v>
      </c>
      <c r="H46" s="12">
        <v>25000</v>
      </c>
      <c r="I46" s="11" t="s">
        <v>145</v>
      </c>
      <c r="J46" s="11" t="s">
        <v>249</v>
      </c>
    </row>
    <row r="47" spans="2:10" x14ac:dyDescent="0.2">
      <c r="B47" s="11" t="s">
        <v>250</v>
      </c>
      <c r="C47" s="11" t="s">
        <v>247</v>
      </c>
      <c r="D47" s="11" t="s">
        <v>91</v>
      </c>
      <c r="E47" s="11" t="s">
        <v>92</v>
      </c>
      <c r="F47" s="11" t="s">
        <v>248</v>
      </c>
      <c r="G47" s="11" t="s">
        <v>250</v>
      </c>
      <c r="H47" s="12">
        <v>25000</v>
      </c>
      <c r="I47" s="11" t="s">
        <v>145</v>
      </c>
      <c r="J47" s="11" t="s">
        <v>251</v>
      </c>
    </row>
    <row r="48" spans="2:10" x14ac:dyDescent="0.2">
      <c r="B48" s="11" t="s">
        <v>252</v>
      </c>
      <c r="C48" s="11" t="s">
        <v>253</v>
      </c>
      <c r="D48" s="11" t="s">
        <v>120</v>
      </c>
      <c r="E48" s="11" t="s">
        <v>121</v>
      </c>
      <c r="F48" s="11" t="s">
        <v>254</v>
      </c>
      <c r="G48" s="11" t="s">
        <v>252</v>
      </c>
      <c r="H48" s="12">
        <v>2500</v>
      </c>
      <c r="I48" s="11" t="s">
        <v>94</v>
      </c>
      <c r="J48" s="11" t="s">
        <v>255</v>
      </c>
    </row>
    <row r="49" spans="2:10" x14ac:dyDescent="0.2">
      <c r="B49" s="11" t="s">
        <v>256</v>
      </c>
      <c r="C49" s="11" t="s">
        <v>257</v>
      </c>
      <c r="D49" s="11" t="s">
        <v>120</v>
      </c>
      <c r="E49" s="11" t="s">
        <v>139</v>
      </c>
      <c r="F49" s="11" t="s">
        <v>258</v>
      </c>
      <c r="G49" s="11" t="s">
        <v>256</v>
      </c>
      <c r="H49" s="12">
        <v>12500</v>
      </c>
      <c r="I49" s="11" t="s">
        <v>94</v>
      </c>
      <c r="J49" s="11" t="s">
        <v>259</v>
      </c>
    </row>
    <row r="50" spans="2:10" x14ac:dyDescent="0.2">
      <c r="B50" s="11" t="s">
        <v>260</v>
      </c>
      <c r="C50" s="11" t="s">
        <v>257</v>
      </c>
      <c r="D50" s="11" t="s">
        <v>120</v>
      </c>
      <c r="E50" s="11" t="s">
        <v>139</v>
      </c>
      <c r="F50" s="11" t="s">
        <v>258</v>
      </c>
      <c r="G50" s="11" t="s">
        <v>260</v>
      </c>
      <c r="H50" s="12">
        <v>12500</v>
      </c>
      <c r="I50" s="11" t="s">
        <v>94</v>
      </c>
      <c r="J50" s="11" t="s">
        <v>261</v>
      </c>
    </row>
    <row r="51" spans="2:10" x14ac:dyDescent="0.2">
      <c r="B51" s="11" t="s">
        <v>262</v>
      </c>
      <c r="C51" s="11" t="s">
        <v>263</v>
      </c>
      <c r="D51" s="11" t="s">
        <v>103</v>
      </c>
      <c r="E51" s="11" t="s">
        <v>103</v>
      </c>
      <c r="F51" s="11" t="s">
        <v>264</v>
      </c>
      <c r="G51" s="11" t="s">
        <v>262</v>
      </c>
      <c r="H51" s="12">
        <v>20000</v>
      </c>
      <c r="I51" s="11" t="s">
        <v>145</v>
      </c>
      <c r="J51" s="11" t="s">
        <v>265</v>
      </c>
    </row>
    <row r="52" spans="2:10" x14ac:dyDescent="0.2">
      <c r="B52" s="11" t="s">
        <v>266</v>
      </c>
      <c r="C52" s="11" t="s">
        <v>267</v>
      </c>
      <c r="D52" s="11" t="s">
        <v>120</v>
      </c>
      <c r="E52" s="11" t="s">
        <v>121</v>
      </c>
      <c r="F52" s="11" t="s">
        <v>268</v>
      </c>
      <c r="G52" s="11" t="s">
        <v>266</v>
      </c>
      <c r="H52" s="12">
        <v>4000</v>
      </c>
      <c r="I52" s="11" t="s">
        <v>94</v>
      </c>
      <c r="J52" s="11" t="s">
        <v>269</v>
      </c>
    </row>
    <row r="53" spans="2:10" x14ac:dyDescent="0.2">
      <c r="B53" s="11" t="s">
        <v>270</v>
      </c>
      <c r="C53" s="11" t="s">
        <v>267</v>
      </c>
      <c r="D53" s="11" t="s">
        <v>120</v>
      </c>
      <c r="E53" s="11" t="s">
        <v>121</v>
      </c>
      <c r="F53" s="11" t="s">
        <v>268</v>
      </c>
      <c r="G53" s="11" t="s">
        <v>270</v>
      </c>
      <c r="H53" s="12">
        <v>4000</v>
      </c>
      <c r="I53" s="11" t="s">
        <v>94</v>
      </c>
      <c r="J53" s="11" t="s">
        <v>271</v>
      </c>
    </row>
    <row r="54" spans="2:10" x14ac:dyDescent="0.2">
      <c r="B54" s="11" t="s">
        <v>272</v>
      </c>
      <c r="C54" s="11" t="s">
        <v>273</v>
      </c>
      <c r="D54" s="11" t="s">
        <v>120</v>
      </c>
      <c r="E54" s="11" t="s">
        <v>139</v>
      </c>
      <c r="F54" s="11" t="s">
        <v>274</v>
      </c>
      <c r="G54" s="11" t="s">
        <v>272</v>
      </c>
      <c r="H54" s="12">
        <v>60000</v>
      </c>
      <c r="I54" s="11" t="s">
        <v>131</v>
      </c>
      <c r="J54" s="11" t="s">
        <v>275</v>
      </c>
    </row>
    <row r="55" spans="2:10" x14ac:dyDescent="0.2">
      <c r="B55" s="11" t="s">
        <v>276</v>
      </c>
      <c r="C55" s="11" t="s">
        <v>277</v>
      </c>
      <c r="D55" s="11" t="s">
        <v>120</v>
      </c>
      <c r="E55" s="11" t="s">
        <v>139</v>
      </c>
      <c r="F55" s="11" t="s">
        <v>274</v>
      </c>
      <c r="G55" s="11" t="s">
        <v>276</v>
      </c>
      <c r="H55" s="12">
        <v>14000</v>
      </c>
      <c r="I55" s="11" t="s">
        <v>94</v>
      </c>
      <c r="J55" s="11" t="s">
        <v>278</v>
      </c>
    </row>
    <row r="56" spans="2:10" x14ac:dyDescent="0.2">
      <c r="B56" s="11" t="s">
        <v>279</v>
      </c>
      <c r="C56" s="11" t="s">
        <v>273</v>
      </c>
      <c r="D56" s="11" t="s">
        <v>120</v>
      </c>
      <c r="E56" s="11" t="s">
        <v>139</v>
      </c>
      <c r="F56" s="11" t="s">
        <v>274</v>
      </c>
      <c r="G56" s="11" t="s">
        <v>279</v>
      </c>
      <c r="H56" s="12">
        <v>60000</v>
      </c>
      <c r="I56" s="11" t="s">
        <v>131</v>
      </c>
      <c r="J56" s="11" t="s">
        <v>280</v>
      </c>
    </row>
    <row r="57" spans="2:10" x14ac:dyDescent="0.2">
      <c r="B57" s="11" t="s">
        <v>281</v>
      </c>
      <c r="C57" s="11" t="s">
        <v>282</v>
      </c>
      <c r="D57" s="11" t="s">
        <v>120</v>
      </c>
      <c r="E57" s="11" t="s">
        <v>139</v>
      </c>
      <c r="F57" s="11" t="s">
        <v>283</v>
      </c>
      <c r="G57" s="11" t="s">
        <v>281</v>
      </c>
      <c r="H57" s="12">
        <v>225</v>
      </c>
      <c r="I57" s="11" t="s">
        <v>94</v>
      </c>
      <c r="J57" s="11" t="s">
        <v>284</v>
      </c>
    </row>
    <row r="58" spans="2:10" x14ac:dyDescent="0.2">
      <c r="B58" s="11" t="s">
        <v>285</v>
      </c>
      <c r="C58" s="11" t="s">
        <v>286</v>
      </c>
      <c r="D58" s="11" t="s">
        <v>91</v>
      </c>
      <c r="E58" s="11" t="s">
        <v>92</v>
      </c>
      <c r="F58" s="11" t="s">
        <v>287</v>
      </c>
      <c r="G58" s="11" t="s">
        <v>285</v>
      </c>
      <c r="H58" s="12">
        <v>6500</v>
      </c>
      <c r="I58" s="11" t="s">
        <v>94</v>
      </c>
      <c r="J58" s="11" t="s">
        <v>288</v>
      </c>
    </row>
    <row r="59" spans="2:10" x14ac:dyDescent="0.2">
      <c r="B59" s="11" t="s">
        <v>289</v>
      </c>
      <c r="C59" s="11" t="s">
        <v>290</v>
      </c>
      <c r="D59" s="11" t="s">
        <v>91</v>
      </c>
      <c r="E59" s="11" t="s">
        <v>92</v>
      </c>
      <c r="F59" s="11" t="s">
        <v>287</v>
      </c>
      <c r="G59" s="11" t="s">
        <v>289</v>
      </c>
      <c r="H59" s="12">
        <v>4000</v>
      </c>
      <c r="I59" s="11" t="s">
        <v>94</v>
      </c>
      <c r="J59" s="11" t="s">
        <v>291</v>
      </c>
    </row>
    <row r="60" spans="2:10" x14ac:dyDescent="0.2">
      <c r="B60" s="11" t="s">
        <v>292</v>
      </c>
      <c r="C60" s="11" t="s">
        <v>293</v>
      </c>
      <c r="D60" s="11" t="s">
        <v>91</v>
      </c>
      <c r="E60" s="11" t="s">
        <v>98</v>
      </c>
      <c r="F60" s="11" t="s">
        <v>294</v>
      </c>
      <c r="G60" s="11" t="s">
        <v>292</v>
      </c>
      <c r="H60" s="12">
        <v>60000</v>
      </c>
      <c r="I60" s="11" t="s">
        <v>131</v>
      </c>
      <c r="J60" s="11" t="s">
        <v>295</v>
      </c>
    </row>
    <row r="61" spans="2:10" x14ac:dyDescent="0.2">
      <c r="B61" s="11" t="s">
        <v>296</v>
      </c>
      <c r="C61" s="11" t="s">
        <v>297</v>
      </c>
      <c r="D61" s="11" t="s">
        <v>91</v>
      </c>
      <c r="E61" s="11" t="s">
        <v>98</v>
      </c>
      <c r="F61" s="11" t="s">
        <v>294</v>
      </c>
      <c r="G61" s="11" t="s">
        <v>296</v>
      </c>
      <c r="H61" s="12">
        <v>14000</v>
      </c>
      <c r="I61" s="11" t="s">
        <v>94</v>
      </c>
      <c r="J61" s="11" t="s">
        <v>298</v>
      </c>
    </row>
    <row r="62" spans="2:10" x14ac:dyDescent="0.2">
      <c r="B62" s="11" t="s">
        <v>299</v>
      </c>
      <c r="C62" s="11" t="s">
        <v>300</v>
      </c>
      <c r="D62" s="11" t="s">
        <v>120</v>
      </c>
      <c r="E62" s="11" t="s">
        <v>121</v>
      </c>
      <c r="F62" s="11" t="s">
        <v>301</v>
      </c>
      <c r="G62" s="11" t="s">
        <v>299</v>
      </c>
      <c r="H62" s="12">
        <v>4000</v>
      </c>
      <c r="I62" s="11" t="s">
        <v>94</v>
      </c>
      <c r="J62" s="11" t="s">
        <v>302</v>
      </c>
    </row>
    <row r="63" spans="2:10" x14ac:dyDescent="0.2">
      <c r="B63" s="11" t="s">
        <v>303</v>
      </c>
      <c r="C63" s="11" t="s">
        <v>304</v>
      </c>
      <c r="D63" s="11" t="s">
        <v>91</v>
      </c>
      <c r="E63" s="11" t="s">
        <v>92</v>
      </c>
      <c r="F63" s="11" t="s">
        <v>305</v>
      </c>
      <c r="G63" s="11" t="s">
        <v>303</v>
      </c>
      <c r="H63" s="12">
        <v>3000</v>
      </c>
      <c r="I63" s="11" t="s">
        <v>94</v>
      </c>
      <c r="J63" s="11" t="s">
        <v>306</v>
      </c>
    </row>
    <row r="64" spans="2:10" x14ac:dyDescent="0.2">
      <c r="B64" s="11" t="s">
        <v>307</v>
      </c>
      <c r="C64" s="11" t="s">
        <v>308</v>
      </c>
      <c r="D64" s="11" t="s">
        <v>103</v>
      </c>
      <c r="E64" s="11" t="s">
        <v>103</v>
      </c>
      <c r="F64" s="11" t="s">
        <v>309</v>
      </c>
      <c r="G64" s="11" t="s">
        <v>307</v>
      </c>
      <c r="H64" s="12">
        <v>60000</v>
      </c>
      <c r="I64" s="11" t="s">
        <v>131</v>
      </c>
      <c r="J64" s="11" t="s">
        <v>310</v>
      </c>
    </row>
    <row r="65" spans="2:10" x14ac:dyDescent="0.2">
      <c r="B65" s="11" t="s">
        <v>311</v>
      </c>
      <c r="C65" s="11" t="s">
        <v>308</v>
      </c>
      <c r="D65" s="11" t="s">
        <v>103</v>
      </c>
      <c r="E65" s="11" t="s">
        <v>103</v>
      </c>
      <c r="F65" s="11" t="s">
        <v>309</v>
      </c>
      <c r="G65" s="11" t="s">
        <v>311</v>
      </c>
      <c r="H65" s="12">
        <v>60000</v>
      </c>
      <c r="I65" s="11" t="s">
        <v>131</v>
      </c>
      <c r="J65" s="11" t="s">
        <v>312</v>
      </c>
    </row>
    <row r="66" spans="2:10" x14ac:dyDescent="0.2">
      <c r="B66" s="11" t="s">
        <v>313</v>
      </c>
      <c r="C66" s="11" t="s">
        <v>314</v>
      </c>
      <c r="D66" s="11" t="s">
        <v>120</v>
      </c>
      <c r="E66" s="11" t="s">
        <v>139</v>
      </c>
      <c r="F66" s="11" t="s">
        <v>315</v>
      </c>
      <c r="G66" s="11" t="s">
        <v>313</v>
      </c>
      <c r="H66" s="12">
        <v>25000</v>
      </c>
      <c r="I66" s="11" t="s">
        <v>145</v>
      </c>
      <c r="J66" s="11" t="s">
        <v>316</v>
      </c>
    </row>
    <row r="67" spans="2:10" x14ac:dyDescent="0.2">
      <c r="B67" s="11" t="s">
        <v>317</v>
      </c>
      <c r="C67" s="11" t="s">
        <v>314</v>
      </c>
      <c r="D67" s="11" t="s">
        <v>120</v>
      </c>
      <c r="E67" s="11" t="s">
        <v>139</v>
      </c>
      <c r="F67" s="11" t="s">
        <v>315</v>
      </c>
      <c r="G67" s="11" t="s">
        <v>317</v>
      </c>
      <c r="H67" s="12">
        <v>25000</v>
      </c>
      <c r="I67" s="11" t="s">
        <v>145</v>
      </c>
      <c r="J67" s="11" t="s">
        <v>318</v>
      </c>
    </row>
    <row r="68" spans="2:10" x14ac:dyDescent="0.2">
      <c r="B68" s="11" t="s">
        <v>319</v>
      </c>
      <c r="C68" s="11" t="s">
        <v>320</v>
      </c>
      <c r="D68" s="11" t="s">
        <v>91</v>
      </c>
      <c r="E68" s="11" t="s">
        <v>92</v>
      </c>
      <c r="F68" s="11" t="s">
        <v>321</v>
      </c>
      <c r="G68" s="11" t="s">
        <v>319</v>
      </c>
      <c r="H68" s="12">
        <v>2000</v>
      </c>
      <c r="I68" s="11" t="s">
        <v>94</v>
      </c>
      <c r="J68" s="11" t="s">
        <v>322</v>
      </c>
    </row>
    <row r="69" spans="2:10" x14ac:dyDescent="0.2">
      <c r="B69" s="11" t="s">
        <v>323</v>
      </c>
      <c r="C69" s="11" t="s">
        <v>324</v>
      </c>
      <c r="D69" s="11" t="s">
        <v>91</v>
      </c>
      <c r="E69" s="11" t="s">
        <v>98</v>
      </c>
      <c r="F69" s="11" t="s">
        <v>325</v>
      </c>
      <c r="G69" s="11" t="s">
        <v>323</v>
      </c>
      <c r="H69" s="12">
        <v>6500</v>
      </c>
      <c r="I69" s="11" t="s">
        <v>94</v>
      </c>
      <c r="J69" s="11" t="s">
        <v>326</v>
      </c>
    </row>
    <row r="70" spans="2:10" x14ac:dyDescent="0.2">
      <c r="B70" s="11" t="s">
        <v>327</v>
      </c>
      <c r="C70" s="11" t="s">
        <v>328</v>
      </c>
      <c r="D70" s="11" t="s">
        <v>91</v>
      </c>
      <c r="E70" s="11" t="s">
        <v>92</v>
      </c>
      <c r="F70" s="11" t="s">
        <v>329</v>
      </c>
      <c r="G70" s="11" t="s">
        <v>327</v>
      </c>
      <c r="H70" s="12">
        <v>500</v>
      </c>
      <c r="I70" s="11" t="s">
        <v>94</v>
      </c>
      <c r="J70" s="11" t="s">
        <v>330</v>
      </c>
    </row>
    <row r="71" spans="2:10" x14ac:dyDescent="0.2">
      <c r="B71" s="11" t="s">
        <v>331</v>
      </c>
      <c r="C71" s="11" t="s">
        <v>328</v>
      </c>
      <c r="D71" s="11" t="s">
        <v>91</v>
      </c>
      <c r="E71" s="11" t="s">
        <v>92</v>
      </c>
      <c r="F71" s="11" t="s">
        <v>329</v>
      </c>
      <c r="G71" s="11" t="s">
        <v>331</v>
      </c>
      <c r="H71" s="12">
        <v>500</v>
      </c>
      <c r="I71" s="11" t="s">
        <v>94</v>
      </c>
      <c r="J71" s="11" t="s">
        <v>332</v>
      </c>
    </row>
    <row r="72" spans="2:10" x14ac:dyDescent="0.2">
      <c r="B72" s="11" t="s">
        <v>333</v>
      </c>
      <c r="C72" s="11" t="s">
        <v>334</v>
      </c>
      <c r="D72" s="11" t="s">
        <v>91</v>
      </c>
      <c r="E72" s="11" t="s">
        <v>92</v>
      </c>
      <c r="F72" s="11" t="s">
        <v>335</v>
      </c>
      <c r="G72" s="11" t="s">
        <v>333</v>
      </c>
      <c r="H72" s="12">
        <v>50000</v>
      </c>
      <c r="I72" s="11" t="s">
        <v>131</v>
      </c>
      <c r="J72" s="11" t="s">
        <v>336</v>
      </c>
    </row>
    <row r="73" spans="2:10" x14ac:dyDescent="0.2">
      <c r="B73" s="11" t="s">
        <v>337</v>
      </c>
      <c r="C73" s="11" t="s">
        <v>338</v>
      </c>
      <c r="D73" s="11" t="s">
        <v>120</v>
      </c>
      <c r="E73" s="11" t="s">
        <v>121</v>
      </c>
      <c r="F73" s="11" t="s">
        <v>339</v>
      </c>
      <c r="G73" s="11" t="s">
        <v>337</v>
      </c>
      <c r="H73" s="12">
        <v>2500</v>
      </c>
      <c r="I73" s="11" t="s">
        <v>94</v>
      </c>
      <c r="J73" s="11" t="s">
        <v>340</v>
      </c>
    </row>
    <row r="74" spans="2:10" x14ac:dyDescent="0.2">
      <c r="B74" s="11" t="s">
        <v>341</v>
      </c>
      <c r="C74" s="11" t="s">
        <v>342</v>
      </c>
      <c r="D74" s="11" t="s">
        <v>91</v>
      </c>
      <c r="E74" s="11" t="s">
        <v>92</v>
      </c>
      <c r="F74" s="11" t="s">
        <v>343</v>
      </c>
      <c r="G74" s="11" t="s">
        <v>341</v>
      </c>
      <c r="H74" s="12">
        <v>1000</v>
      </c>
      <c r="I74" s="11" t="s">
        <v>94</v>
      </c>
      <c r="J74" s="11" t="s">
        <v>344</v>
      </c>
    </row>
    <row r="75" spans="2:10" x14ac:dyDescent="0.2">
      <c r="B75" s="11" t="s">
        <v>345</v>
      </c>
      <c r="C75" s="11" t="s">
        <v>346</v>
      </c>
      <c r="D75" s="11" t="s">
        <v>120</v>
      </c>
      <c r="E75" s="11" t="s">
        <v>139</v>
      </c>
      <c r="F75" s="11" t="s">
        <v>347</v>
      </c>
      <c r="G75" s="11" t="s">
        <v>345</v>
      </c>
      <c r="H75" s="12">
        <v>6500</v>
      </c>
      <c r="I75" s="11" t="s">
        <v>94</v>
      </c>
      <c r="J75" s="11" t="s">
        <v>348</v>
      </c>
    </row>
    <row r="76" spans="2:10" x14ac:dyDescent="0.2">
      <c r="B76" s="11" t="s">
        <v>349</v>
      </c>
      <c r="C76" s="11" t="s">
        <v>350</v>
      </c>
      <c r="D76" s="11" t="s">
        <v>103</v>
      </c>
      <c r="E76" s="11" t="s">
        <v>103</v>
      </c>
      <c r="F76" s="11" t="s">
        <v>351</v>
      </c>
      <c r="G76" s="11" t="s">
        <v>349</v>
      </c>
      <c r="H76" s="12">
        <v>20000</v>
      </c>
      <c r="I76" s="11" t="s">
        <v>145</v>
      </c>
      <c r="J76" s="11" t="s">
        <v>352</v>
      </c>
    </row>
    <row r="77" spans="2:10" x14ac:dyDescent="0.2">
      <c r="B77" s="11" t="s">
        <v>353</v>
      </c>
      <c r="C77" s="11" t="s">
        <v>350</v>
      </c>
      <c r="D77" s="11" t="s">
        <v>103</v>
      </c>
      <c r="E77" s="11" t="s">
        <v>103</v>
      </c>
      <c r="F77" s="11" t="s">
        <v>351</v>
      </c>
      <c r="G77" s="11" t="s">
        <v>353</v>
      </c>
      <c r="H77" s="12">
        <v>20000</v>
      </c>
      <c r="I77" s="11" t="s">
        <v>145</v>
      </c>
      <c r="J77" s="11" t="s">
        <v>354</v>
      </c>
    </row>
    <row r="78" spans="2:10" x14ac:dyDescent="0.2">
      <c r="B78" s="11" t="s">
        <v>355</v>
      </c>
      <c r="C78" s="11" t="s">
        <v>356</v>
      </c>
      <c r="D78" s="11" t="s">
        <v>103</v>
      </c>
      <c r="E78" s="11" t="s">
        <v>103</v>
      </c>
      <c r="F78" s="11" t="s">
        <v>351</v>
      </c>
      <c r="G78" s="11" t="s">
        <v>355</v>
      </c>
      <c r="H78" s="12">
        <v>30000</v>
      </c>
      <c r="I78" s="11" t="s">
        <v>145</v>
      </c>
      <c r="J78" s="11" t="s">
        <v>357</v>
      </c>
    </row>
    <row r="79" spans="2:10" x14ac:dyDescent="0.2">
      <c r="B79" s="11" t="s">
        <v>358</v>
      </c>
      <c r="C79" s="11" t="s">
        <v>359</v>
      </c>
      <c r="D79" s="11" t="s">
        <v>91</v>
      </c>
      <c r="E79" s="11" t="s">
        <v>98</v>
      </c>
      <c r="F79" s="11" t="s">
        <v>360</v>
      </c>
      <c r="G79" s="11" t="s">
        <v>358</v>
      </c>
      <c r="H79" s="12">
        <v>6000</v>
      </c>
      <c r="I79" s="11" t="s">
        <v>94</v>
      </c>
      <c r="J79" s="11" t="s">
        <v>361</v>
      </c>
    </row>
    <row r="80" spans="2:10" x14ac:dyDescent="0.2">
      <c r="B80" s="11" t="s">
        <v>362</v>
      </c>
      <c r="C80" s="11" t="s">
        <v>363</v>
      </c>
      <c r="D80" s="11" t="s">
        <v>120</v>
      </c>
      <c r="E80" s="11" t="s">
        <v>139</v>
      </c>
      <c r="F80" s="11" t="s">
        <v>364</v>
      </c>
      <c r="G80" s="11" t="s">
        <v>362</v>
      </c>
      <c r="H80" s="12">
        <v>12500</v>
      </c>
      <c r="I80" s="11" t="s">
        <v>94</v>
      </c>
      <c r="J80" s="11" t="s">
        <v>365</v>
      </c>
    </row>
    <row r="81" spans="2:10" x14ac:dyDescent="0.2">
      <c r="B81" s="11" t="s">
        <v>366</v>
      </c>
      <c r="C81" s="11" t="s">
        <v>367</v>
      </c>
      <c r="D81" s="11" t="s">
        <v>91</v>
      </c>
      <c r="E81" s="11" t="s">
        <v>92</v>
      </c>
      <c r="F81" s="11" t="s">
        <v>368</v>
      </c>
      <c r="G81" s="11" t="s">
        <v>366</v>
      </c>
      <c r="H81" s="12">
        <v>30000</v>
      </c>
      <c r="I81" s="11" t="s">
        <v>145</v>
      </c>
      <c r="J81" s="11" t="s">
        <v>369</v>
      </c>
    </row>
    <row r="82" spans="2:10" x14ac:dyDescent="0.2">
      <c r="B82" s="11" t="s">
        <v>370</v>
      </c>
      <c r="C82" s="11" t="s">
        <v>367</v>
      </c>
      <c r="D82" s="11" t="s">
        <v>91</v>
      </c>
      <c r="E82" s="11" t="s">
        <v>92</v>
      </c>
      <c r="F82" s="11" t="s">
        <v>368</v>
      </c>
      <c r="G82" s="11" t="s">
        <v>370</v>
      </c>
      <c r="H82" s="12">
        <v>30000</v>
      </c>
      <c r="I82" s="11" t="s">
        <v>145</v>
      </c>
      <c r="J82" s="11" t="s">
        <v>371</v>
      </c>
    </row>
    <row r="83" spans="2:10" x14ac:dyDescent="0.2">
      <c r="B83" s="11" t="s">
        <v>372</v>
      </c>
      <c r="C83" s="11" t="s">
        <v>373</v>
      </c>
      <c r="D83" s="11" t="s">
        <v>91</v>
      </c>
      <c r="E83" s="11" t="s">
        <v>92</v>
      </c>
      <c r="F83" s="11" t="s">
        <v>368</v>
      </c>
      <c r="G83" s="11" t="s">
        <v>372</v>
      </c>
      <c r="H83" s="12">
        <v>7875</v>
      </c>
      <c r="I83" s="11" t="s">
        <v>94</v>
      </c>
      <c r="J83" s="11" t="s">
        <v>374</v>
      </c>
    </row>
    <row r="84" spans="2:10" x14ac:dyDescent="0.2">
      <c r="B84" s="11" t="s">
        <v>375</v>
      </c>
      <c r="C84" s="11" t="s">
        <v>376</v>
      </c>
      <c r="D84" s="11" t="s">
        <v>91</v>
      </c>
      <c r="E84" s="11" t="s">
        <v>103</v>
      </c>
      <c r="F84" s="11" t="s">
        <v>377</v>
      </c>
      <c r="G84" s="11" t="s">
        <v>375</v>
      </c>
      <c r="H84" s="12">
        <v>5000</v>
      </c>
      <c r="I84" s="11" t="s">
        <v>94</v>
      </c>
      <c r="J84" s="11" t="s">
        <v>378</v>
      </c>
    </row>
    <row r="85" spans="2:10" x14ac:dyDescent="0.2">
      <c r="B85" s="11" t="s">
        <v>379</v>
      </c>
      <c r="C85" s="11" t="s">
        <v>380</v>
      </c>
      <c r="D85" s="11" t="s">
        <v>120</v>
      </c>
      <c r="E85" s="11" t="s">
        <v>121</v>
      </c>
      <c r="F85" s="11" t="s">
        <v>381</v>
      </c>
      <c r="G85" s="11" t="s">
        <v>379</v>
      </c>
      <c r="H85" s="12">
        <v>6500</v>
      </c>
      <c r="I85" s="11" t="s">
        <v>94</v>
      </c>
      <c r="J85" s="11" t="s">
        <v>382</v>
      </c>
    </row>
    <row r="86" spans="2:10" x14ac:dyDescent="0.2">
      <c r="B86" s="11" t="s">
        <v>383</v>
      </c>
      <c r="C86" s="11" t="s">
        <v>384</v>
      </c>
      <c r="D86" s="11" t="s">
        <v>91</v>
      </c>
      <c r="E86" s="11" t="s">
        <v>92</v>
      </c>
      <c r="F86" s="11" t="s">
        <v>385</v>
      </c>
      <c r="G86" s="11" t="s">
        <v>383</v>
      </c>
      <c r="H86" s="12">
        <v>2300</v>
      </c>
      <c r="I86" s="11" t="s">
        <v>94</v>
      </c>
      <c r="J86" s="11" t="s">
        <v>386</v>
      </c>
    </row>
    <row r="87" spans="2:10" x14ac:dyDescent="0.2">
      <c r="B87" s="11" t="s">
        <v>387</v>
      </c>
      <c r="C87" s="11" t="s">
        <v>388</v>
      </c>
      <c r="D87" s="11" t="s">
        <v>91</v>
      </c>
      <c r="E87" s="11" t="s">
        <v>92</v>
      </c>
      <c r="F87" s="11" t="s">
        <v>389</v>
      </c>
      <c r="G87" s="11" t="s">
        <v>387</v>
      </c>
      <c r="H87" s="12">
        <v>1600</v>
      </c>
      <c r="I87" s="11" t="s">
        <v>94</v>
      </c>
      <c r="J87" s="11" t="s">
        <v>390</v>
      </c>
    </row>
    <row r="88" spans="2:10" x14ac:dyDescent="0.2">
      <c r="B88" s="11" t="s">
        <v>391</v>
      </c>
      <c r="C88" s="11" t="s">
        <v>392</v>
      </c>
      <c r="D88" s="11" t="s">
        <v>91</v>
      </c>
      <c r="E88" s="11" t="s">
        <v>92</v>
      </c>
      <c r="F88" s="11" t="s">
        <v>393</v>
      </c>
      <c r="G88" s="11" t="s">
        <v>391</v>
      </c>
      <c r="H88" s="12">
        <v>30000</v>
      </c>
      <c r="I88" s="11" t="s">
        <v>145</v>
      </c>
      <c r="J88" s="11" t="s">
        <v>394</v>
      </c>
    </row>
    <row r="89" spans="2:10" x14ac:dyDescent="0.2">
      <c r="B89" s="11" t="s">
        <v>395</v>
      </c>
      <c r="C89" s="11" t="s">
        <v>392</v>
      </c>
      <c r="D89" s="11" t="s">
        <v>91</v>
      </c>
      <c r="E89" s="11" t="s">
        <v>92</v>
      </c>
      <c r="F89" s="11" t="s">
        <v>393</v>
      </c>
      <c r="G89" s="11" t="s">
        <v>395</v>
      </c>
      <c r="H89" s="12">
        <v>30000</v>
      </c>
      <c r="I89" s="11" t="s">
        <v>145</v>
      </c>
      <c r="J89" s="11" t="s">
        <v>396</v>
      </c>
    </row>
    <row r="90" spans="2:10" x14ac:dyDescent="0.2">
      <c r="B90" s="11" t="s">
        <v>397</v>
      </c>
      <c r="C90" s="11" t="s">
        <v>398</v>
      </c>
      <c r="D90" s="11" t="s">
        <v>120</v>
      </c>
      <c r="E90" s="11" t="s">
        <v>139</v>
      </c>
      <c r="F90" s="11" t="s">
        <v>399</v>
      </c>
      <c r="G90" s="11" t="s">
        <v>397</v>
      </c>
      <c r="H90" s="12">
        <v>30000</v>
      </c>
      <c r="I90" s="11" t="s">
        <v>145</v>
      </c>
      <c r="J90" s="11" t="s">
        <v>400</v>
      </c>
    </row>
    <row r="91" spans="2:10" x14ac:dyDescent="0.2">
      <c r="B91" s="11" t="s">
        <v>401</v>
      </c>
      <c r="C91" s="11" t="s">
        <v>402</v>
      </c>
      <c r="D91" s="11" t="s">
        <v>91</v>
      </c>
      <c r="E91" s="11" t="s">
        <v>92</v>
      </c>
      <c r="F91" s="11" t="s">
        <v>403</v>
      </c>
      <c r="G91" s="11" t="s">
        <v>401</v>
      </c>
      <c r="H91" s="12">
        <v>12500</v>
      </c>
      <c r="I91" s="11" t="s">
        <v>94</v>
      </c>
      <c r="J91" s="11" t="s">
        <v>404</v>
      </c>
    </row>
    <row r="92" spans="2:10" x14ac:dyDescent="0.2">
      <c r="B92" s="11" t="s">
        <v>405</v>
      </c>
      <c r="C92" s="11" t="s">
        <v>406</v>
      </c>
      <c r="D92" s="11" t="s">
        <v>91</v>
      </c>
      <c r="E92" s="11" t="s">
        <v>92</v>
      </c>
      <c r="F92" s="11" t="s">
        <v>407</v>
      </c>
      <c r="G92" s="11" t="s">
        <v>405</v>
      </c>
      <c r="H92" s="12">
        <v>12500</v>
      </c>
      <c r="I92" s="11" t="s">
        <v>94</v>
      </c>
      <c r="J92" s="11" t="s">
        <v>408</v>
      </c>
    </row>
    <row r="93" spans="2:10" x14ac:dyDescent="0.2">
      <c r="B93" s="11" t="s">
        <v>409</v>
      </c>
      <c r="C93" s="11" t="s">
        <v>410</v>
      </c>
      <c r="D93" s="11" t="s">
        <v>120</v>
      </c>
      <c r="E93" s="11" t="s">
        <v>139</v>
      </c>
      <c r="F93" s="11" t="s">
        <v>411</v>
      </c>
      <c r="G93" s="11" t="s">
        <v>409</v>
      </c>
      <c r="H93" s="12">
        <v>4000</v>
      </c>
      <c r="I93" s="11" t="s">
        <v>94</v>
      </c>
      <c r="J93" s="11" t="s">
        <v>412</v>
      </c>
    </row>
    <row r="94" spans="2:10" x14ac:dyDescent="0.2">
      <c r="B94" s="11" t="s">
        <v>413</v>
      </c>
      <c r="C94" s="11" t="s">
        <v>414</v>
      </c>
      <c r="D94" s="11" t="s">
        <v>120</v>
      </c>
      <c r="E94" s="11" t="s">
        <v>121</v>
      </c>
      <c r="F94" s="11" t="s">
        <v>415</v>
      </c>
      <c r="G94" s="11" t="s">
        <v>413</v>
      </c>
      <c r="H94" s="12">
        <v>2500</v>
      </c>
      <c r="I94" s="11" t="s">
        <v>94</v>
      </c>
      <c r="J94" s="11" t="s">
        <v>416</v>
      </c>
    </row>
    <row r="95" spans="2:10" x14ac:dyDescent="0.2">
      <c r="B95" s="11" t="s">
        <v>417</v>
      </c>
      <c r="C95" s="11" t="s">
        <v>418</v>
      </c>
      <c r="D95" s="11" t="s">
        <v>120</v>
      </c>
      <c r="E95" s="11" t="s">
        <v>121</v>
      </c>
      <c r="F95" s="11" t="s">
        <v>419</v>
      </c>
      <c r="G95" s="11" t="s">
        <v>417</v>
      </c>
      <c r="H95" s="12">
        <v>2500</v>
      </c>
      <c r="I95" s="11" t="s">
        <v>94</v>
      </c>
      <c r="J95" s="11" t="s">
        <v>420</v>
      </c>
    </row>
    <row r="96" spans="2:10" x14ac:dyDescent="0.2">
      <c r="B96" s="11" t="s">
        <v>421</v>
      </c>
      <c r="C96" s="11" t="s">
        <v>422</v>
      </c>
      <c r="D96" s="11" t="s">
        <v>120</v>
      </c>
      <c r="E96" s="11" t="s">
        <v>121</v>
      </c>
      <c r="F96" s="11" t="s">
        <v>423</v>
      </c>
      <c r="G96" s="11" t="s">
        <v>421</v>
      </c>
      <c r="H96" s="12">
        <v>1000</v>
      </c>
      <c r="I96" s="11" t="s">
        <v>94</v>
      </c>
      <c r="J96" s="11" t="s">
        <v>424</v>
      </c>
    </row>
    <row r="97" spans="2:10" x14ac:dyDescent="0.2">
      <c r="B97" s="11" t="s">
        <v>425</v>
      </c>
      <c r="C97" s="11" t="s">
        <v>426</v>
      </c>
      <c r="D97" s="11" t="s">
        <v>91</v>
      </c>
      <c r="E97" s="11" t="s">
        <v>92</v>
      </c>
      <c r="F97" s="11" t="s">
        <v>427</v>
      </c>
      <c r="G97" s="11" t="s">
        <v>425</v>
      </c>
      <c r="H97" s="12">
        <v>1000</v>
      </c>
      <c r="I97" s="11" t="s">
        <v>94</v>
      </c>
      <c r="J97" s="11" t="s">
        <v>428</v>
      </c>
    </row>
    <row r="98" spans="2:10" x14ac:dyDescent="0.2">
      <c r="B98" s="11" t="s">
        <v>429</v>
      </c>
      <c r="C98" s="11" t="s">
        <v>430</v>
      </c>
      <c r="D98" s="11" t="s">
        <v>91</v>
      </c>
      <c r="E98" s="11" t="s">
        <v>98</v>
      </c>
      <c r="F98" s="11" t="s">
        <v>431</v>
      </c>
      <c r="G98" s="11" t="s">
        <v>429</v>
      </c>
      <c r="H98" s="12">
        <v>2300</v>
      </c>
      <c r="I98" s="11" t="s">
        <v>94</v>
      </c>
      <c r="J98" s="11" t="s">
        <v>432</v>
      </c>
    </row>
    <row r="99" spans="2:10" x14ac:dyDescent="0.2">
      <c r="B99" s="11" t="s">
        <v>433</v>
      </c>
      <c r="C99" s="11" t="s">
        <v>434</v>
      </c>
      <c r="D99" s="11" t="s">
        <v>120</v>
      </c>
      <c r="E99" s="11" t="s">
        <v>121</v>
      </c>
      <c r="F99" s="11" t="s">
        <v>435</v>
      </c>
      <c r="G99" s="11" t="s">
        <v>433</v>
      </c>
      <c r="H99" s="12">
        <v>20000</v>
      </c>
      <c r="I99" s="11" t="s">
        <v>145</v>
      </c>
      <c r="J99" s="11" t="s">
        <v>436</v>
      </c>
    </row>
    <row r="100" spans="2:10" x14ac:dyDescent="0.2">
      <c r="B100" s="11" t="s">
        <v>437</v>
      </c>
      <c r="C100" s="11" t="s">
        <v>434</v>
      </c>
      <c r="D100" s="11" t="s">
        <v>120</v>
      </c>
      <c r="E100" s="11" t="s">
        <v>121</v>
      </c>
      <c r="F100" s="11" t="s">
        <v>435</v>
      </c>
      <c r="G100" s="11" t="s">
        <v>437</v>
      </c>
      <c r="H100" s="12">
        <v>20000</v>
      </c>
      <c r="I100" s="11" t="s">
        <v>145</v>
      </c>
      <c r="J100" s="11" t="s">
        <v>438</v>
      </c>
    </row>
    <row r="101" spans="2:10" x14ac:dyDescent="0.2">
      <c r="B101" s="11" t="s">
        <v>439</v>
      </c>
      <c r="C101" s="11" t="s">
        <v>440</v>
      </c>
      <c r="D101" s="11" t="s">
        <v>120</v>
      </c>
      <c r="E101" s="11" t="s">
        <v>121</v>
      </c>
      <c r="F101" s="11" t="s">
        <v>441</v>
      </c>
      <c r="G101" s="11" t="s">
        <v>439</v>
      </c>
      <c r="H101" s="12">
        <v>2500</v>
      </c>
      <c r="I101" s="11" t="s">
        <v>94</v>
      </c>
      <c r="J101" s="11" t="s">
        <v>442</v>
      </c>
    </row>
    <row r="102" spans="2:10" x14ac:dyDescent="0.2">
      <c r="B102" s="11" t="s">
        <v>443</v>
      </c>
      <c r="C102" s="11" t="s">
        <v>444</v>
      </c>
      <c r="D102" s="11" t="s">
        <v>103</v>
      </c>
      <c r="E102" s="11" t="s">
        <v>103</v>
      </c>
      <c r="F102" s="11" t="s">
        <v>445</v>
      </c>
      <c r="G102" s="11" t="s">
        <v>443</v>
      </c>
      <c r="H102" s="12">
        <v>33000</v>
      </c>
      <c r="I102" s="11" t="s">
        <v>145</v>
      </c>
      <c r="J102" s="11" t="s">
        <v>446</v>
      </c>
    </row>
    <row r="103" spans="2:10" x14ac:dyDescent="0.2">
      <c r="B103" s="11" t="s">
        <v>447</v>
      </c>
      <c r="C103" s="11" t="s">
        <v>448</v>
      </c>
      <c r="D103" s="11" t="s">
        <v>103</v>
      </c>
      <c r="E103" s="11" t="s">
        <v>103</v>
      </c>
      <c r="F103" s="11" t="s">
        <v>445</v>
      </c>
      <c r="G103" s="11" t="s">
        <v>447</v>
      </c>
      <c r="H103" s="12">
        <v>45000</v>
      </c>
      <c r="I103" s="11" t="s">
        <v>131</v>
      </c>
      <c r="J103" s="11" t="s">
        <v>449</v>
      </c>
    </row>
    <row r="104" spans="2:10" x14ac:dyDescent="0.2">
      <c r="B104" s="11" t="s">
        <v>450</v>
      </c>
      <c r="C104" s="11" t="s">
        <v>451</v>
      </c>
      <c r="D104" s="11" t="s">
        <v>120</v>
      </c>
      <c r="E104" s="11" t="s">
        <v>139</v>
      </c>
      <c r="F104" s="11" t="s">
        <v>452</v>
      </c>
      <c r="G104" s="11" t="s">
        <v>450</v>
      </c>
      <c r="H104" s="12">
        <v>5000</v>
      </c>
      <c r="I104" s="11" t="s">
        <v>94</v>
      </c>
      <c r="J104" s="11" t="s">
        <v>453</v>
      </c>
    </row>
    <row r="105" spans="2:10" x14ac:dyDescent="0.2">
      <c r="B105" s="11" t="s">
        <v>454</v>
      </c>
      <c r="C105" s="11" t="s">
        <v>451</v>
      </c>
      <c r="D105" s="11" t="s">
        <v>120</v>
      </c>
      <c r="E105" s="11" t="s">
        <v>139</v>
      </c>
      <c r="F105" s="11" t="s">
        <v>452</v>
      </c>
      <c r="G105" s="11" t="s">
        <v>454</v>
      </c>
      <c r="H105" s="12">
        <v>5000</v>
      </c>
      <c r="I105" s="11" t="s">
        <v>94</v>
      </c>
      <c r="J105" s="11" t="s">
        <v>455</v>
      </c>
    </row>
    <row r="106" spans="2:10" x14ac:dyDescent="0.2">
      <c r="B106" s="11" t="s">
        <v>456</v>
      </c>
      <c r="C106" s="11" t="s">
        <v>457</v>
      </c>
      <c r="D106" s="11" t="s">
        <v>103</v>
      </c>
      <c r="E106" s="11" t="s">
        <v>103</v>
      </c>
      <c r="F106" s="11" t="s">
        <v>458</v>
      </c>
      <c r="G106" s="11" t="s">
        <v>456</v>
      </c>
      <c r="H106" s="12">
        <v>33000</v>
      </c>
      <c r="I106" s="11" t="s">
        <v>145</v>
      </c>
      <c r="J106" s="11" t="s">
        <v>459</v>
      </c>
    </row>
    <row r="107" spans="2:10" x14ac:dyDescent="0.2">
      <c r="B107" s="11" t="s">
        <v>460</v>
      </c>
      <c r="C107" s="11" t="s">
        <v>457</v>
      </c>
      <c r="D107" s="11" t="s">
        <v>103</v>
      </c>
      <c r="E107" s="11" t="s">
        <v>103</v>
      </c>
      <c r="F107" s="11" t="s">
        <v>458</v>
      </c>
      <c r="G107" s="11" t="s">
        <v>460</v>
      </c>
      <c r="H107" s="12">
        <v>33000</v>
      </c>
      <c r="I107" s="11" t="s">
        <v>145</v>
      </c>
      <c r="J107" s="11" t="s">
        <v>461</v>
      </c>
    </row>
    <row r="108" spans="2:10" ht="26" x14ac:dyDescent="0.2">
      <c r="B108" s="11" t="s">
        <v>462</v>
      </c>
      <c r="C108" s="11" t="s">
        <v>463</v>
      </c>
      <c r="D108" s="11" t="s">
        <v>91</v>
      </c>
      <c r="E108" s="11" t="s">
        <v>92</v>
      </c>
      <c r="F108" s="11" t="s">
        <v>464</v>
      </c>
      <c r="G108" s="11" t="s">
        <v>462</v>
      </c>
      <c r="H108" s="12">
        <v>3000</v>
      </c>
      <c r="I108" s="11" t="s">
        <v>94</v>
      </c>
      <c r="J108" s="11" t="s">
        <v>465</v>
      </c>
    </row>
    <row r="109" spans="2:10" x14ac:dyDescent="0.2">
      <c r="B109" s="11" t="s">
        <v>466</v>
      </c>
      <c r="C109" s="11" t="s">
        <v>467</v>
      </c>
      <c r="D109" s="11" t="s">
        <v>91</v>
      </c>
      <c r="E109" s="11" t="s">
        <v>92</v>
      </c>
      <c r="F109" s="11" t="s">
        <v>468</v>
      </c>
      <c r="G109" s="11" t="s">
        <v>466</v>
      </c>
      <c r="H109" s="12">
        <v>10000</v>
      </c>
      <c r="I109" s="11" t="s">
        <v>94</v>
      </c>
      <c r="J109" s="11" t="s">
        <v>469</v>
      </c>
    </row>
    <row r="110" spans="2:10" x14ac:dyDescent="0.2">
      <c r="B110" s="11" t="s">
        <v>470</v>
      </c>
      <c r="C110" s="11" t="s">
        <v>471</v>
      </c>
      <c r="D110" s="11" t="s">
        <v>103</v>
      </c>
      <c r="E110" s="11" t="s">
        <v>103</v>
      </c>
      <c r="F110" s="11" t="s">
        <v>472</v>
      </c>
      <c r="G110" s="11" t="s">
        <v>470</v>
      </c>
      <c r="H110" s="12">
        <v>30000</v>
      </c>
      <c r="I110" s="11" t="s">
        <v>145</v>
      </c>
      <c r="J110" s="11" t="s">
        <v>473</v>
      </c>
    </row>
    <row r="111" spans="2:10" x14ac:dyDescent="0.2">
      <c r="B111" s="11" t="s">
        <v>474</v>
      </c>
      <c r="C111" s="11" t="s">
        <v>471</v>
      </c>
      <c r="D111" s="11" t="s">
        <v>103</v>
      </c>
      <c r="E111" s="11" t="s">
        <v>103</v>
      </c>
      <c r="F111" s="11" t="s">
        <v>472</v>
      </c>
      <c r="G111" s="11" t="s">
        <v>474</v>
      </c>
      <c r="H111" s="12">
        <v>30000</v>
      </c>
      <c r="I111" s="11" t="s">
        <v>145</v>
      </c>
      <c r="J111" s="11" t="s">
        <v>475</v>
      </c>
    </row>
    <row r="112" spans="2:10" x14ac:dyDescent="0.2">
      <c r="B112" s="11" t="s">
        <v>476</v>
      </c>
      <c r="C112" s="11" t="s">
        <v>477</v>
      </c>
      <c r="D112" s="11" t="s">
        <v>120</v>
      </c>
      <c r="E112" s="11" t="s">
        <v>121</v>
      </c>
      <c r="F112" s="11" t="s">
        <v>478</v>
      </c>
      <c r="G112" s="11" t="s">
        <v>476</v>
      </c>
      <c r="H112" s="12">
        <v>2000</v>
      </c>
      <c r="I112" s="11" t="s">
        <v>94</v>
      </c>
      <c r="J112" s="11" t="s">
        <v>479</v>
      </c>
    </row>
    <row r="113" spans="2:10" x14ac:dyDescent="0.2">
      <c r="B113" s="11" t="s">
        <v>480</v>
      </c>
      <c r="C113" s="11" t="s">
        <v>481</v>
      </c>
      <c r="D113" s="11" t="s">
        <v>103</v>
      </c>
      <c r="E113" s="11" t="s">
        <v>103</v>
      </c>
      <c r="F113" s="11" t="s">
        <v>482</v>
      </c>
      <c r="G113" s="11" t="s">
        <v>480</v>
      </c>
      <c r="H113" s="12">
        <v>6500</v>
      </c>
      <c r="I113" s="11" t="s">
        <v>94</v>
      </c>
      <c r="J113" s="11" t="s">
        <v>483</v>
      </c>
    </row>
    <row r="114" spans="2:10" x14ac:dyDescent="0.2">
      <c r="B114" s="11" t="s">
        <v>484</v>
      </c>
      <c r="C114" s="11" t="s">
        <v>481</v>
      </c>
      <c r="D114" s="11" t="s">
        <v>103</v>
      </c>
      <c r="E114" s="11" t="s">
        <v>103</v>
      </c>
      <c r="F114" s="11" t="s">
        <v>482</v>
      </c>
      <c r="G114" s="11" t="s">
        <v>484</v>
      </c>
      <c r="H114" s="12">
        <v>6500</v>
      </c>
      <c r="I114" s="11" t="s">
        <v>94</v>
      </c>
      <c r="J114" s="11" t="s">
        <v>485</v>
      </c>
    </row>
    <row r="115" spans="2:10" x14ac:dyDescent="0.2">
      <c r="B115" s="11" t="s">
        <v>486</v>
      </c>
      <c r="C115" s="11" t="s">
        <v>487</v>
      </c>
      <c r="D115" s="11" t="s">
        <v>91</v>
      </c>
      <c r="E115" s="11" t="s">
        <v>92</v>
      </c>
      <c r="F115" s="11" t="s">
        <v>488</v>
      </c>
      <c r="G115" s="11" t="s">
        <v>486</v>
      </c>
      <c r="H115" s="12">
        <v>2500</v>
      </c>
      <c r="I115" s="11" t="s">
        <v>94</v>
      </c>
      <c r="J115" s="11" t="s">
        <v>489</v>
      </c>
    </row>
    <row r="116" spans="2:10" x14ac:dyDescent="0.2">
      <c r="B116" s="11" t="s">
        <v>490</v>
      </c>
      <c r="C116" s="11" t="s">
        <v>491</v>
      </c>
      <c r="D116" s="11" t="s">
        <v>91</v>
      </c>
      <c r="E116" s="11" t="s">
        <v>92</v>
      </c>
      <c r="F116" s="11" t="s">
        <v>492</v>
      </c>
      <c r="G116" s="11" t="s">
        <v>490</v>
      </c>
      <c r="H116" s="12">
        <v>500</v>
      </c>
      <c r="I116" s="11" t="s">
        <v>94</v>
      </c>
      <c r="J116" s="11" t="s">
        <v>493</v>
      </c>
    </row>
    <row r="117" spans="2:10" x14ac:dyDescent="0.2">
      <c r="B117" s="11" t="s">
        <v>494</v>
      </c>
      <c r="C117" s="11" t="s">
        <v>491</v>
      </c>
      <c r="D117" s="11" t="s">
        <v>91</v>
      </c>
      <c r="E117" s="11" t="s">
        <v>92</v>
      </c>
      <c r="F117" s="11" t="s">
        <v>492</v>
      </c>
      <c r="G117" s="11" t="s">
        <v>494</v>
      </c>
      <c r="H117" s="12">
        <v>500</v>
      </c>
      <c r="I117" s="11" t="s">
        <v>94</v>
      </c>
      <c r="J117" s="11" t="s">
        <v>495</v>
      </c>
    </row>
    <row r="118" spans="2:10" x14ac:dyDescent="0.2">
      <c r="B118" s="11" t="s">
        <v>496</v>
      </c>
      <c r="C118" s="11" t="s">
        <v>497</v>
      </c>
      <c r="D118" s="11" t="s">
        <v>103</v>
      </c>
      <c r="E118" s="11" t="s">
        <v>103</v>
      </c>
      <c r="F118" s="11" t="s">
        <v>498</v>
      </c>
      <c r="G118" s="11" t="s">
        <v>496</v>
      </c>
      <c r="H118" s="12">
        <v>35000</v>
      </c>
      <c r="I118" s="11" t="s">
        <v>145</v>
      </c>
      <c r="J118" s="11" t="s">
        <v>499</v>
      </c>
    </row>
    <row r="119" spans="2:10" x14ac:dyDescent="0.2">
      <c r="B119" s="11" t="s">
        <v>500</v>
      </c>
      <c r="C119" s="11" t="s">
        <v>501</v>
      </c>
      <c r="D119" s="11" t="s">
        <v>103</v>
      </c>
      <c r="E119" s="11" t="s">
        <v>103</v>
      </c>
      <c r="F119" s="11" t="s">
        <v>498</v>
      </c>
      <c r="G119" s="11" t="s">
        <v>500</v>
      </c>
      <c r="H119" s="12">
        <v>33000</v>
      </c>
      <c r="I119" s="11" t="s">
        <v>145</v>
      </c>
      <c r="J119" s="11" t="s">
        <v>502</v>
      </c>
    </row>
    <row r="120" spans="2:10" x14ac:dyDescent="0.2">
      <c r="B120" s="11" t="s">
        <v>503</v>
      </c>
      <c r="C120" s="11" t="s">
        <v>504</v>
      </c>
      <c r="D120" s="11" t="s">
        <v>120</v>
      </c>
      <c r="E120" s="11" t="s">
        <v>121</v>
      </c>
      <c r="F120" s="11" t="s">
        <v>505</v>
      </c>
      <c r="G120" s="11" t="s">
        <v>503</v>
      </c>
      <c r="H120" s="12">
        <v>6250</v>
      </c>
      <c r="I120" s="11" t="s">
        <v>94</v>
      </c>
      <c r="J120" s="11" t="s">
        <v>506</v>
      </c>
    </row>
    <row r="121" spans="2:10" x14ac:dyDescent="0.2">
      <c r="B121" s="11" t="s">
        <v>507</v>
      </c>
      <c r="C121" s="11" t="s">
        <v>508</v>
      </c>
      <c r="D121" s="11" t="s">
        <v>103</v>
      </c>
      <c r="E121" s="11" t="s">
        <v>103</v>
      </c>
      <c r="F121" s="11" t="s">
        <v>509</v>
      </c>
      <c r="G121" s="11" t="s">
        <v>507</v>
      </c>
      <c r="H121" s="12">
        <v>45000</v>
      </c>
      <c r="I121" s="11" t="s">
        <v>131</v>
      </c>
      <c r="J121" s="11" t="s">
        <v>510</v>
      </c>
    </row>
    <row r="122" spans="2:10" x14ac:dyDescent="0.2">
      <c r="B122" s="11" t="s">
        <v>511</v>
      </c>
      <c r="C122" s="11" t="s">
        <v>512</v>
      </c>
      <c r="D122" s="11" t="s">
        <v>120</v>
      </c>
      <c r="E122" s="11" t="s">
        <v>121</v>
      </c>
      <c r="F122" s="11" t="s">
        <v>513</v>
      </c>
      <c r="G122" s="11" t="s">
        <v>511</v>
      </c>
      <c r="H122" s="12">
        <v>15000</v>
      </c>
      <c r="I122" s="11" t="s">
        <v>94</v>
      </c>
      <c r="J122" s="11" t="s">
        <v>514</v>
      </c>
    </row>
    <row r="123" spans="2:10" x14ac:dyDescent="0.2">
      <c r="B123" s="11" t="s">
        <v>515</v>
      </c>
      <c r="C123" s="11" t="s">
        <v>516</v>
      </c>
      <c r="D123" s="11" t="s">
        <v>120</v>
      </c>
      <c r="E123" s="11" t="s">
        <v>121</v>
      </c>
      <c r="F123" s="11" t="s">
        <v>513</v>
      </c>
      <c r="G123" s="11" t="s">
        <v>515</v>
      </c>
      <c r="H123" s="12">
        <v>4000</v>
      </c>
      <c r="I123" s="11" t="s">
        <v>94</v>
      </c>
      <c r="J123" s="11" t="s">
        <v>517</v>
      </c>
    </row>
    <row r="124" spans="2:10" x14ac:dyDescent="0.2">
      <c r="B124" s="11" t="s">
        <v>518</v>
      </c>
      <c r="C124" s="11" t="s">
        <v>519</v>
      </c>
      <c r="D124" s="11" t="s">
        <v>120</v>
      </c>
      <c r="E124" s="11" t="s">
        <v>121</v>
      </c>
      <c r="F124" s="11" t="s">
        <v>520</v>
      </c>
      <c r="G124" s="11" t="s">
        <v>518</v>
      </c>
      <c r="H124" s="12">
        <v>40000</v>
      </c>
      <c r="I124" s="11" t="s">
        <v>131</v>
      </c>
      <c r="J124" s="11" t="s">
        <v>521</v>
      </c>
    </row>
    <row r="125" spans="2:10" x14ac:dyDescent="0.2">
      <c r="B125" s="11" t="s">
        <v>522</v>
      </c>
      <c r="C125" s="11" t="s">
        <v>519</v>
      </c>
      <c r="D125" s="11" t="s">
        <v>120</v>
      </c>
      <c r="E125" s="11" t="s">
        <v>121</v>
      </c>
      <c r="F125" s="11" t="s">
        <v>520</v>
      </c>
      <c r="G125" s="11" t="s">
        <v>522</v>
      </c>
      <c r="H125" s="12">
        <v>40000</v>
      </c>
      <c r="I125" s="11" t="s">
        <v>131</v>
      </c>
      <c r="J125" s="11" t="s">
        <v>523</v>
      </c>
    </row>
    <row r="126" spans="2:10" x14ac:dyDescent="0.2">
      <c r="B126" s="11" t="s">
        <v>524</v>
      </c>
      <c r="C126" s="11" t="s">
        <v>525</v>
      </c>
      <c r="D126" s="11" t="s">
        <v>103</v>
      </c>
      <c r="E126" s="11" t="s">
        <v>103</v>
      </c>
      <c r="F126" s="11" t="s">
        <v>526</v>
      </c>
      <c r="G126" s="11" t="s">
        <v>524</v>
      </c>
      <c r="H126" s="12">
        <v>2000</v>
      </c>
      <c r="I126" s="11" t="s">
        <v>94</v>
      </c>
      <c r="J126" s="11" t="s">
        <v>527</v>
      </c>
    </row>
    <row r="127" spans="2:10" x14ac:dyDescent="0.2">
      <c r="B127" s="11" t="s">
        <v>528</v>
      </c>
      <c r="C127" s="11" t="s">
        <v>529</v>
      </c>
      <c r="D127" s="11" t="s">
        <v>120</v>
      </c>
      <c r="E127" s="11" t="s">
        <v>121</v>
      </c>
      <c r="F127" s="11" t="s">
        <v>530</v>
      </c>
      <c r="G127" s="11" t="s">
        <v>528</v>
      </c>
      <c r="H127" s="12">
        <v>6500</v>
      </c>
      <c r="I127" s="11" t="s">
        <v>94</v>
      </c>
      <c r="J127" s="11" t="s">
        <v>531</v>
      </c>
    </row>
    <row r="128" spans="2:10" x14ac:dyDescent="0.2">
      <c r="B128" s="11" t="s">
        <v>532</v>
      </c>
      <c r="C128" s="11" t="s">
        <v>533</v>
      </c>
      <c r="D128" s="11" t="s">
        <v>103</v>
      </c>
      <c r="E128" s="11" t="s">
        <v>103</v>
      </c>
      <c r="F128" s="11" t="s">
        <v>534</v>
      </c>
      <c r="G128" s="11" t="s">
        <v>532</v>
      </c>
      <c r="H128" s="12">
        <v>50000</v>
      </c>
      <c r="I128" s="11" t="s">
        <v>131</v>
      </c>
      <c r="J128" s="11" t="s">
        <v>535</v>
      </c>
    </row>
    <row r="129" spans="2:10" x14ac:dyDescent="0.2">
      <c r="B129" s="11" t="s">
        <v>536</v>
      </c>
      <c r="C129" s="11" t="s">
        <v>533</v>
      </c>
      <c r="D129" s="11" t="s">
        <v>103</v>
      </c>
      <c r="E129" s="11" t="s">
        <v>103</v>
      </c>
      <c r="F129" s="11" t="s">
        <v>534</v>
      </c>
      <c r="G129" s="11" t="s">
        <v>536</v>
      </c>
      <c r="H129" s="12">
        <v>50000</v>
      </c>
      <c r="I129" s="11" t="s">
        <v>131</v>
      </c>
      <c r="J129" s="11" t="s">
        <v>537</v>
      </c>
    </row>
    <row r="130" spans="2:10" x14ac:dyDescent="0.2">
      <c r="B130" s="11" t="s">
        <v>538</v>
      </c>
      <c r="C130" s="11" t="s">
        <v>539</v>
      </c>
      <c r="D130" s="11" t="s">
        <v>103</v>
      </c>
      <c r="E130" s="11" t="s">
        <v>103</v>
      </c>
      <c r="F130" s="11" t="s">
        <v>534</v>
      </c>
      <c r="G130" s="11" t="s">
        <v>538</v>
      </c>
      <c r="H130" s="12">
        <v>20000</v>
      </c>
      <c r="I130" s="11" t="s">
        <v>145</v>
      </c>
      <c r="J130" s="11" t="s">
        <v>540</v>
      </c>
    </row>
    <row r="131" spans="2:10" x14ac:dyDescent="0.2">
      <c r="B131" s="11" t="s">
        <v>541</v>
      </c>
      <c r="C131" s="11" t="s">
        <v>542</v>
      </c>
      <c r="D131" s="11" t="s">
        <v>103</v>
      </c>
      <c r="E131" s="11" t="s">
        <v>103</v>
      </c>
      <c r="F131" s="11" t="s">
        <v>534</v>
      </c>
      <c r="G131" s="11" t="s">
        <v>541</v>
      </c>
      <c r="H131" s="12">
        <v>30000</v>
      </c>
      <c r="I131" s="11" t="s">
        <v>145</v>
      </c>
      <c r="J131" s="11" t="s">
        <v>543</v>
      </c>
    </row>
    <row r="132" spans="2:10" x14ac:dyDescent="0.2">
      <c r="B132" s="11" t="s">
        <v>544</v>
      </c>
      <c r="C132" s="11" t="s">
        <v>545</v>
      </c>
      <c r="D132" s="11" t="s">
        <v>91</v>
      </c>
      <c r="E132" s="11" t="s">
        <v>98</v>
      </c>
      <c r="F132" s="11" t="s">
        <v>546</v>
      </c>
      <c r="G132" s="11" t="s">
        <v>544</v>
      </c>
      <c r="H132" s="12">
        <v>6500</v>
      </c>
      <c r="I132" s="11" t="s">
        <v>94</v>
      </c>
      <c r="J132" s="11" t="s">
        <v>547</v>
      </c>
    </row>
    <row r="133" spans="2:10" x14ac:dyDescent="0.2">
      <c r="B133" s="11" t="s">
        <v>548</v>
      </c>
      <c r="C133" s="11" t="s">
        <v>549</v>
      </c>
      <c r="D133" s="11" t="s">
        <v>91</v>
      </c>
      <c r="E133" s="11" t="s">
        <v>92</v>
      </c>
      <c r="F133" s="11" t="s">
        <v>550</v>
      </c>
      <c r="G133" s="11" t="s">
        <v>548</v>
      </c>
      <c r="H133" s="12">
        <v>50000</v>
      </c>
      <c r="I133" s="11" t="s">
        <v>131</v>
      </c>
      <c r="J133" s="11" t="s">
        <v>551</v>
      </c>
    </row>
    <row r="134" spans="2:10" ht="26" x14ac:dyDescent="0.2">
      <c r="B134" s="11" t="s">
        <v>552</v>
      </c>
      <c r="C134" s="11" t="s">
        <v>553</v>
      </c>
      <c r="D134" s="11" t="s">
        <v>120</v>
      </c>
      <c r="E134" s="11" t="s">
        <v>121</v>
      </c>
      <c r="F134" s="11" t="s">
        <v>554</v>
      </c>
      <c r="G134" s="11" t="s">
        <v>552</v>
      </c>
      <c r="H134" s="12">
        <v>50000</v>
      </c>
      <c r="I134" s="11" t="s">
        <v>131</v>
      </c>
      <c r="J134" s="11" t="s">
        <v>555</v>
      </c>
    </row>
    <row r="135" spans="2:10" x14ac:dyDescent="0.2">
      <c r="B135" s="11" t="s">
        <v>556</v>
      </c>
      <c r="C135" s="11" t="s">
        <v>557</v>
      </c>
      <c r="D135" s="11" t="s">
        <v>120</v>
      </c>
      <c r="E135" s="11" t="s">
        <v>139</v>
      </c>
      <c r="F135" s="11" t="s">
        <v>558</v>
      </c>
      <c r="G135" s="11" t="s">
        <v>556</v>
      </c>
      <c r="H135" s="12">
        <v>5000</v>
      </c>
      <c r="I135" s="11" t="s">
        <v>94</v>
      </c>
      <c r="J135" s="11" t="s">
        <v>559</v>
      </c>
    </row>
    <row r="136" spans="2:10" x14ac:dyDescent="0.2">
      <c r="B136" s="11" t="s">
        <v>560</v>
      </c>
      <c r="C136" s="11" t="s">
        <v>561</v>
      </c>
      <c r="D136" s="11" t="s">
        <v>120</v>
      </c>
      <c r="E136" s="11" t="s">
        <v>139</v>
      </c>
      <c r="F136" s="11" t="s">
        <v>558</v>
      </c>
      <c r="G136" s="11" t="s">
        <v>560</v>
      </c>
      <c r="H136" s="12">
        <v>2300</v>
      </c>
      <c r="I136" s="11" t="s">
        <v>94</v>
      </c>
      <c r="J136" s="11" t="s">
        <v>562</v>
      </c>
    </row>
    <row r="137" spans="2:10" x14ac:dyDescent="0.2">
      <c r="B137" s="11" t="s">
        <v>563</v>
      </c>
      <c r="C137" s="11" t="s">
        <v>564</v>
      </c>
      <c r="D137" s="11" t="s">
        <v>91</v>
      </c>
      <c r="E137" s="11" t="s">
        <v>92</v>
      </c>
      <c r="F137" s="11" t="s">
        <v>565</v>
      </c>
      <c r="G137" s="11" t="s">
        <v>563</v>
      </c>
      <c r="H137" s="12">
        <v>6500</v>
      </c>
      <c r="I137" s="11" t="s">
        <v>94</v>
      </c>
      <c r="J137" s="11" t="s">
        <v>566</v>
      </c>
    </row>
    <row r="138" spans="2:10" x14ac:dyDescent="0.2">
      <c r="B138" s="11" t="s">
        <v>567</v>
      </c>
      <c r="C138" s="11" t="s">
        <v>568</v>
      </c>
      <c r="D138" s="11" t="s">
        <v>103</v>
      </c>
      <c r="E138" s="11" t="s">
        <v>103</v>
      </c>
      <c r="F138" s="11" t="s">
        <v>569</v>
      </c>
      <c r="G138" s="11" t="s">
        <v>567</v>
      </c>
      <c r="H138" s="12">
        <v>5000</v>
      </c>
      <c r="I138" s="11" t="s">
        <v>94</v>
      </c>
      <c r="J138" s="11" t="s">
        <v>570</v>
      </c>
    </row>
    <row r="139" spans="2:10" x14ac:dyDescent="0.2">
      <c r="B139" s="11" t="s">
        <v>571</v>
      </c>
      <c r="C139" s="11" t="s">
        <v>572</v>
      </c>
      <c r="D139" s="11" t="s">
        <v>120</v>
      </c>
      <c r="E139" s="11" t="s">
        <v>121</v>
      </c>
      <c r="F139" s="11" t="s">
        <v>573</v>
      </c>
      <c r="G139" s="11" t="s">
        <v>571</v>
      </c>
      <c r="H139" s="12">
        <v>50000</v>
      </c>
      <c r="I139" s="11" t="s">
        <v>131</v>
      </c>
      <c r="J139" s="11" t="s">
        <v>574</v>
      </c>
    </row>
    <row r="140" spans="2:10" x14ac:dyDescent="0.2">
      <c r="B140" s="11" t="s">
        <v>575</v>
      </c>
      <c r="C140" s="11" t="s">
        <v>576</v>
      </c>
      <c r="D140" s="11" t="s">
        <v>103</v>
      </c>
      <c r="E140" s="11" t="s">
        <v>103</v>
      </c>
      <c r="F140" s="11" t="s">
        <v>577</v>
      </c>
      <c r="G140" s="11" t="s">
        <v>575</v>
      </c>
      <c r="H140" s="12">
        <v>1000</v>
      </c>
      <c r="I140" s="11" t="s">
        <v>94</v>
      </c>
      <c r="J140" s="11" t="s">
        <v>578</v>
      </c>
    </row>
    <row r="141" spans="2:10" x14ac:dyDescent="0.2">
      <c r="B141" s="11" t="s">
        <v>579</v>
      </c>
      <c r="C141" s="11" t="s">
        <v>580</v>
      </c>
      <c r="D141" s="11" t="s">
        <v>120</v>
      </c>
      <c r="E141" s="11" t="s">
        <v>121</v>
      </c>
      <c r="F141" s="11" t="s">
        <v>581</v>
      </c>
      <c r="G141" s="11" t="s">
        <v>579</v>
      </c>
      <c r="H141" s="12">
        <v>30000</v>
      </c>
      <c r="I141" s="11" t="s">
        <v>145</v>
      </c>
      <c r="J141" s="11" t="s">
        <v>582</v>
      </c>
    </row>
    <row r="142" spans="2:10" x14ac:dyDescent="0.2">
      <c r="B142" s="11" t="s">
        <v>583</v>
      </c>
      <c r="C142" s="11" t="s">
        <v>584</v>
      </c>
      <c r="D142" s="11" t="s">
        <v>120</v>
      </c>
      <c r="E142" s="11" t="s">
        <v>121</v>
      </c>
      <c r="F142" s="11" t="s">
        <v>581</v>
      </c>
      <c r="G142" s="11" t="s">
        <v>583</v>
      </c>
      <c r="H142" s="12">
        <v>12500</v>
      </c>
      <c r="I142" s="11" t="s">
        <v>94</v>
      </c>
      <c r="J142" s="11" t="s">
        <v>585</v>
      </c>
    </row>
    <row r="143" spans="2:10" x14ac:dyDescent="0.2">
      <c r="B143" s="11" t="s">
        <v>586</v>
      </c>
      <c r="C143" s="11" t="s">
        <v>587</v>
      </c>
      <c r="D143" s="11" t="s">
        <v>120</v>
      </c>
      <c r="E143" s="11" t="s">
        <v>121</v>
      </c>
      <c r="F143" s="11" t="s">
        <v>588</v>
      </c>
      <c r="G143" s="11" t="s">
        <v>586</v>
      </c>
      <c r="H143" s="12">
        <v>4000</v>
      </c>
      <c r="I143" s="11" t="s">
        <v>94</v>
      </c>
      <c r="J143" s="11" t="s">
        <v>589</v>
      </c>
    </row>
    <row r="144" spans="2:10" x14ac:dyDescent="0.2">
      <c r="B144" s="11" t="s">
        <v>590</v>
      </c>
      <c r="C144" s="11" t="s">
        <v>591</v>
      </c>
      <c r="D144" s="11" t="s">
        <v>91</v>
      </c>
      <c r="E144" s="11" t="s">
        <v>98</v>
      </c>
      <c r="F144" s="11" t="s">
        <v>588</v>
      </c>
      <c r="G144" s="11" t="s">
        <v>590</v>
      </c>
      <c r="H144" s="12">
        <v>6500</v>
      </c>
      <c r="I144" s="11" t="s">
        <v>94</v>
      </c>
      <c r="J144" s="11" t="s">
        <v>592</v>
      </c>
    </row>
    <row r="145" spans="2:10" x14ac:dyDescent="0.2">
      <c r="B145" s="11" t="s">
        <v>593</v>
      </c>
      <c r="C145" s="11" t="s">
        <v>594</v>
      </c>
      <c r="D145" s="11" t="s">
        <v>103</v>
      </c>
      <c r="E145" s="11" t="s">
        <v>103</v>
      </c>
      <c r="F145" s="11" t="s">
        <v>595</v>
      </c>
      <c r="G145" s="11" t="s">
        <v>593</v>
      </c>
      <c r="H145" s="12">
        <v>1600</v>
      </c>
      <c r="I145" s="11" t="s">
        <v>94</v>
      </c>
      <c r="J145" s="11" t="s">
        <v>596</v>
      </c>
    </row>
    <row r="146" spans="2:10" ht="26" x14ac:dyDescent="0.2">
      <c r="B146" s="11" t="s">
        <v>597</v>
      </c>
      <c r="C146" s="11" t="s">
        <v>598</v>
      </c>
      <c r="D146" s="11" t="s">
        <v>120</v>
      </c>
      <c r="E146" s="11" t="s">
        <v>121</v>
      </c>
      <c r="F146" s="11" t="s">
        <v>599</v>
      </c>
      <c r="G146" s="11" t="s">
        <v>597</v>
      </c>
      <c r="H146" s="12">
        <v>6500</v>
      </c>
      <c r="I146" s="11" t="s">
        <v>94</v>
      </c>
      <c r="J146" s="11" t="s">
        <v>600</v>
      </c>
    </row>
    <row r="147" spans="2:10" ht="26" x14ac:dyDescent="0.2">
      <c r="B147" s="11" t="s">
        <v>601</v>
      </c>
      <c r="C147" s="11" t="s">
        <v>602</v>
      </c>
      <c r="D147" s="11" t="s">
        <v>120</v>
      </c>
      <c r="E147" s="11" t="s">
        <v>121</v>
      </c>
      <c r="F147" s="11" t="s">
        <v>603</v>
      </c>
      <c r="G147" s="11" t="s">
        <v>601</v>
      </c>
      <c r="H147" s="12">
        <v>6500</v>
      </c>
      <c r="I147" s="11" t="s">
        <v>94</v>
      </c>
      <c r="J147" s="11" t="s">
        <v>604</v>
      </c>
    </row>
    <row r="148" spans="2:10" ht="26" x14ac:dyDescent="0.2">
      <c r="B148" s="11" t="s">
        <v>605</v>
      </c>
      <c r="C148" s="11" t="s">
        <v>606</v>
      </c>
      <c r="D148" s="11" t="s">
        <v>120</v>
      </c>
      <c r="E148" s="11" t="s">
        <v>121</v>
      </c>
      <c r="F148" s="11" t="s">
        <v>603</v>
      </c>
      <c r="G148" s="11" t="s">
        <v>605</v>
      </c>
      <c r="H148" s="12">
        <v>3000</v>
      </c>
      <c r="I148" s="11" t="s">
        <v>94</v>
      </c>
      <c r="J148" s="11" t="s">
        <v>607</v>
      </c>
    </row>
    <row r="149" spans="2:10" x14ac:dyDescent="0.2">
      <c r="B149" s="11" t="s">
        <v>608</v>
      </c>
      <c r="C149" s="11" t="s">
        <v>609</v>
      </c>
      <c r="D149" s="11" t="s">
        <v>120</v>
      </c>
      <c r="E149" s="11" t="s">
        <v>121</v>
      </c>
      <c r="F149" s="11" t="s">
        <v>610</v>
      </c>
      <c r="G149" s="11" t="s">
        <v>608</v>
      </c>
      <c r="H149" s="12">
        <v>45000</v>
      </c>
      <c r="I149" s="11" t="s">
        <v>131</v>
      </c>
      <c r="J149" s="11" t="s">
        <v>611</v>
      </c>
    </row>
    <row r="150" spans="2:10" x14ac:dyDescent="0.2">
      <c r="B150" s="11" t="s">
        <v>612</v>
      </c>
      <c r="C150" s="11" t="s">
        <v>609</v>
      </c>
      <c r="D150" s="11" t="s">
        <v>120</v>
      </c>
      <c r="E150" s="11" t="s">
        <v>121</v>
      </c>
      <c r="F150" s="11" t="s">
        <v>610</v>
      </c>
      <c r="G150" s="11" t="s">
        <v>612</v>
      </c>
      <c r="H150" s="12">
        <v>45000</v>
      </c>
      <c r="I150" s="11" t="s">
        <v>131</v>
      </c>
      <c r="J150" s="11" t="s">
        <v>613</v>
      </c>
    </row>
    <row r="151" spans="2:10" x14ac:dyDescent="0.2">
      <c r="B151" s="11" t="s">
        <v>614</v>
      </c>
      <c r="C151" s="11" t="s">
        <v>615</v>
      </c>
      <c r="D151" s="11" t="s">
        <v>91</v>
      </c>
      <c r="E151" s="11" t="s">
        <v>92</v>
      </c>
      <c r="F151" s="11" t="s">
        <v>616</v>
      </c>
      <c r="G151" s="11" t="s">
        <v>614</v>
      </c>
      <c r="H151" s="12">
        <v>3000</v>
      </c>
      <c r="I151" s="11" t="s">
        <v>94</v>
      </c>
      <c r="J151" s="11" t="s">
        <v>617</v>
      </c>
    </row>
    <row r="152" spans="2:10" x14ac:dyDescent="0.2">
      <c r="B152" s="11" t="s">
        <v>618</v>
      </c>
      <c r="C152" s="11" t="s">
        <v>615</v>
      </c>
      <c r="D152" s="11" t="s">
        <v>91</v>
      </c>
      <c r="E152" s="11" t="s">
        <v>92</v>
      </c>
      <c r="F152" s="11" t="s">
        <v>616</v>
      </c>
      <c r="G152" s="11" t="s">
        <v>618</v>
      </c>
      <c r="H152" s="12">
        <v>3000</v>
      </c>
      <c r="I152" s="11" t="s">
        <v>94</v>
      </c>
      <c r="J152" s="11" t="s">
        <v>619</v>
      </c>
    </row>
    <row r="153" spans="2:10" x14ac:dyDescent="0.2">
      <c r="B153" s="11" t="s">
        <v>620</v>
      </c>
      <c r="C153" s="11" t="s">
        <v>621</v>
      </c>
      <c r="D153" s="11" t="s">
        <v>120</v>
      </c>
      <c r="E153" s="11" t="s">
        <v>121</v>
      </c>
      <c r="F153" s="11" t="s">
        <v>622</v>
      </c>
      <c r="G153" s="11" t="s">
        <v>620</v>
      </c>
      <c r="H153" s="12">
        <v>12500</v>
      </c>
      <c r="I153" s="11" t="s">
        <v>94</v>
      </c>
      <c r="J153" s="11" t="s">
        <v>623</v>
      </c>
    </row>
    <row r="154" spans="2:10" x14ac:dyDescent="0.2">
      <c r="B154" s="11" t="s">
        <v>624</v>
      </c>
      <c r="C154" s="11" t="s">
        <v>621</v>
      </c>
      <c r="D154" s="11" t="s">
        <v>120</v>
      </c>
      <c r="E154" s="11" t="s">
        <v>121</v>
      </c>
      <c r="F154" s="11" t="s">
        <v>622</v>
      </c>
      <c r="G154" s="11" t="s">
        <v>624</v>
      </c>
      <c r="H154" s="12">
        <v>12500</v>
      </c>
      <c r="I154" s="11" t="s">
        <v>94</v>
      </c>
      <c r="J154" s="11" t="s">
        <v>625</v>
      </c>
    </row>
    <row r="155" spans="2:10" x14ac:dyDescent="0.2">
      <c r="B155" s="11" t="s">
        <v>626</v>
      </c>
      <c r="C155" s="11" t="s">
        <v>627</v>
      </c>
      <c r="D155" s="11" t="s">
        <v>91</v>
      </c>
      <c r="E155" s="11" t="s">
        <v>92</v>
      </c>
      <c r="F155" s="11" t="s">
        <v>628</v>
      </c>
      <c r="G155" s="11" t="s">
        <v>626</v>
      </c>
      <c r="H155" s="12">
        <v>14000</v>
      </c>
      <c r="I155" s="11" t="s">
        <v>94</v>
      </c>
      <c r="J155" s="11" t="s">
        <v>629</v>
      </c>
    </row>
    <row r="156" spans="2:10" x14ac:dyDescent="0.2">
      <c r="B156" s="11" t="s">
        <v>630</v>
      </c>
      <c r="C156" s="11" t="s">
        <v>627</v>
      </c>
      <c r="D156" s="11" t="s">
        <v>91</v>
      </c>
      <c r="E156" s="11" t="s">
        <v>92</v>
      </c>
      <c r="F156" s="11" t="s">
        <v>628</v>
      </c>
      <c r="G156" s="11" t="s">
        <v>630</v>
      </c>
      <c r="H156" s="12">
        <v>14000</v>
      </c>
      <c r="I156" s="11" t="s">
        <v>94</v>
      </c>
      <c r="J156" s="11" t="s">
        <v>631</v>
      </c>
    </row>
    <row r="157" spans="2:10" x14ac:dyDescent="0.2">
      <c r="B157" s="11" t="s">
        <v>632</v>
      </c>
      <c r="C157" s="11" t="s">
        <v>627</v>
      </c>
      <c r="D157" s="11" t="s">
        <v>91</v>
      </c>
      <c r="E157" s="11" t="s">
        <v>92</v>
      </c>
      <c r="F157" s="11" t="s">
        <v>628</v>
      </c>
      <c r="G157" s="11" t="s">
        <v>632</v>
      </c>
      <c r="H157" s="12">
        <v>14000</v>
      </c>
      <c r="I157" s="11" t="s">
        <v>94</v>
      </c>
      <c r="J157" s="11" t="s">
        <v>633</v>
      </c>
    </row>
    <row r="158" spans="2:10" x14ac:dyDescent="0.2">
      <c r="B158" s="11" t="s">
        <v>634</v>
      </c>
      <c r="C158" s="11" t="s">
        <v>635</v>
      </c>
      <c r="D158" s="11" t="s">
        <v>120</v>
      </c>
      <c r="E158" s="11" t="s">
        <v>139</v>
      </c>
      <c r="F158" s="11" t="s">
        <v>636</v>
      </c>
      <c r="G158" s="11" t="s">
        <v>634</v>
      </c>
      <c r="H158" s="12">
        <v>5000</v>
      </c>
      <c r="I158" s="11" t="s">
        <v>94</v>
      </c>
      <c r="J158" s="11" t="s">
        <v>637</v>
      </c>
    </row>
    <row r="159" spans="2:10" x14ac:dyDescent="0.2">
      <c r="B159" s="11" t="s">
        <v>638</v>
      </c>
      <c r="C159" s="11" t="s">
        <v>635</v>
      </c>
      <c r="D159" s="11" t="s">
        <v>120</v>
      </c>
      <c r="E159" s="11" t="s">
        <v>139</v>
      </c>
      <c r="F159" s="11" t="s">
        <v>636</v>
      </c>
      <c r="G159" s="11" t="s">
        <v>638</v>
      </c>
      <c r="H159" s="12">
        <v>5000</v>
      </c>
      <c r="I159" s="11" t="s">
        <v>94</v>
      </c>
      <c r="J159" s="11" t="s">
        <v>639</v>
      </c>
    </row>
    <row r="160" spans="2:10" ht="26" x14ac:dyDescent="0.2">
      <c r="B160" s="11" t="s">
        <v>640</v>
      </c>
      <c r="C160" s="11" t="s">
        <v>641</v>
      </c>
      <c r="D160" s="11" t="s">
        <v>120</v>
      </c>
      <c r="E160" s="11" t="s">
        <v>121</v>
      </c>
      <c r="F160" s="11" t="s">
        <v>642</v>
      </c>
      <c r="G160" s="11" t="s">
        <v>640</v>
      </c>
      <c r="H160" s="12">
        <v>5000</v>
      </c>
      <c r="I160" s="11" t="s">
        <v>94</v>
      </c>
      <c r="J160" s="11" t="s">
        <v>643</v>
      </c>
    </row>
    <row r="161" spans="2:10" ht="26" x14ac:dyDescent="0.2">
      <c r="B161" s="11" t="s">
        <v>644</v>
      </c>
      <c r="C161" s="11" t="s">
        <v>641</v>
      </c>
      <c r="D161" s="11" t="s">
        <v>120</v>
      </c>
      <c r="E161" s="11" t="s">
        <v>121</v>
      </c>
      <c r="F161" s="11" t="s">
        <v>642</v>
      </c>
      <c r="G161" s="11" t="s">
        <v>644</v>
      </c>
      <c r="H161" s="12">
        <v>5000</v>
      </c>
      <c r="I161" s="11" t="s">
        <v>94</v>
      </c>
      <c r="J161" s="11" t="s">
        <v>645</v>
      </c>
    </row>
    <row r="162" spans="2:10" x14ac:dyDescent="0.2">
      <c r="B162" s="11" t="s">
        <v>646</v>
      </c>
      <c r="C162" s="11" t="s">
        <v>647</v>
      </c>
      <c r="D162" s="11" t="s">
        <v>120</v>
      </c>
      <c r="E162" s="11" t="s">
        <v>121</v>
      </c>
      <c r="F162" s="11" t="s">
        <v>648</v>
      </c>
      <c r="G162" s="11" t="s">
        <v>646</v>
      </c>
      <c r="H162" s="12">
        <v>15000</v>
      </c>
      <c r="I162" s="11" t="s">
        <v>94</v>
      </c>
      <c r="J162" s="11" t="s">
        <v>649</v>
      </c>
    </row>
    <row r="163" spans="2:10" ht="26" x14ac:dyDescent="0.2">
      <c r="B163" s="11" t="s">
        <v>650</v>
      </c>
      <c r="C163" s="11" t="s">
        <v>651</v>
      </c>
      <c r="D163" s="11" t="s">
        <v>120</v>
      </c>
      <c r="E163" s="11" t="s">
        <v>139</v>
      </c>
      <c r="F163" s="11" t="s">
        <v>652</v>
      </c>
      <c r="G163" s="11" t="s">
        <v>650</v>
      </c>
      <c r="H163" s="12">
        <v>4000</v>
      </c>
      <c r="I163" s="11" t="s">
        <v>94</v>
      </c>
      <c r="J163" s="11" t="s">
        <v>653</v>
      </c>
    </row>
    <row r="164" spans="2:10" ht="26" x14ac:dyDescent="0.2">
      <c r="B164" s="11" t="s">
        <v>654</v>
      </c>
      <c r="C164" s="11" t="s">
        <v>655</v>
      </c>
      <c r="D164" s="11" t="s">
        <v>120</v>
      </c>
      <c r="E164" s="11" t="s">
        <v>121</v>
      </c>
      <c r="F164" s="11" t="s">
        <v>656</v>
      </c>
      <c r="G164" s="11" t="s">
        <v>654</v>
      </c>
      <c r="H164" s="12">
        <v>6500</v>
      </c>
      <c r="I164" s="11" t="s">
        <v>94</v>
      </c>
      <c r="J164" s="11" t="s">
        <v>657</v>
      </c>
    </row>
    <row r="165" spans="2:10" x14ac:dyDescent="0.2">
      <c r="B165" s="11" t="s">
        <v>658</v>
      </c>
      <c r="C165" s="11" t="s">
        <v>659</v>
      </c>
      <c r="D165" s="11" t="s">
        <v>120</v>
      </c>
      <c r="E165" s="11" t="s">
        <v>121</v>
      </c>
      <c r="F165" s="11" t="s">
        <v>660</v>
      </c>
      <c r="G165" s="11" t="s">
        <v>658</v>
      </c>
      <c r="H165" s="12">
        <v>6500</v>
      </c>
      <c r="I165" s="11" t="s">
        <v>94</v>
      </c>
      <c r="J165" s="11" t="s">
        <v>661</v>
      </c>
    </row>
    <row r="166" spans="2:10" x14ac:dyDescent="0.2">
      <c r="B166" s="11" t="s">
        <v>662</v>
      </c>
      <c r="C166" s="11" t="s">
        <v>663</v>
      </c>
      <c r="D166" s="11" t="s">
        <v>103</v>
      </c>
      <c r="E166" s="11" t="s">
        <v>103</v>
      </c>
      <c r="F166" s="11" t="s">
        <v>664</v>
      </c>
      <c r="G166" s="11" t="s">
        <v>662</v>
      </c>
      <c r="H166" s="12">
        <v>12500</v>
      </c>
      <c r="I166" s="11" t="s">
        <v>94</v>
      </c>
      <c r="J166" s="11" t="s">
        <v>665</v>
      </c>
    </row>
    <row r="167" spans="2:10" x14ac:dyDescent="0.2">
      <c r="B167" s="11" t="s">
        <v>666</v>
      </c>
      <c r="C167" s="11" t="s">
        <v>667</v>
      </c>
      <c r="D167" s="11" t="s">
        <v>91</v>
      </c>
      <c r="E167" s="11" t="s">
        <v>98</v>
      </c>
      <c r="F167" s="11" t="s">
        <v>668</v>
      </c>
      <c r="G167" s="11" t="s">
        <v>666</v>
      </c>
      <c r="H167" s="12">
        <v>2000</v>
      </c>
      <c r="I167" s="11" t="s">
        <v>94</v>
      </c>
      <c r="J167" s="11" t="s">
        <v>669</v>
      </c>
    </row>
    <row r="168" spans="2:10" x14ac:dyDescent="0.2">
      <c r="B168" s="11" t="s">
        <v>670</v>
      </c>
      <c r="C168" s="11" t="s">
        <v>671</v>
      </c>
      <c r="D168" s="11" t="s">
        <v>103</v>
      </c>
      <c r="E168" s="11" t="s">
        <v>103</v>
      </c>
      <c r="F168" s="11" t="s">
        <v>672</v>
      </c>
      <c r="G168" s="11" t="s">
        <v>670</v>
      </c>
      <c r="H168" s="12">
        <v>8000</v>
      </c>
      <c r="I168" s="11" t="s">
        <v>94</v>
      </c>
      <c r="J168" s="11" t="s">
        <v>673</v>
      </c>
    </row>
    <row r="169" spans="2:10" x14ac:dyDescent="0.2">
      <c r="B169" s="11" t="s">
        <v>674</v>
      </c>
      <c r="C169" s="11" t="s">
        <v>671</v>
      </c>
      <c r="D169" s="11" t="s">
        <v>103</v>
      </c>
      <c r="E169" s="11" t="s">
        <v>103</v>
      </c>
      <c r="F169" s="11" t="s">
        <v>672</v>
      </c>
      <c r="G169" s="11" t="s">
        <v>674</v>
      </c>
      <c r="H169" s="12">
        <v>8000</v>
      </c>
      <c r="I169" s="11" t="s">
        <v>94</v>
      </c>
      <c r="J169" s="11" t="s">
        <v>675</v>
      </c>
    </row>
    <row r="170" spans="2:10" ht="26" x14ac:dyDescent="0.2">
      <c r="B170" s="11" t="s">
        <v>676</v>
      </c>
      <c r="C170" s="11" t="s">
        <v>677</v>
      </c>
      <c r="D170" s="11" t="s">
        <v>103</v>
      </c>
      <c r="E170" s="11" t="s">
        <v>103</v>
      </c>
      <c r="F170" s="11" t="s">
        <v>678</v>
      </c>
      <c r="G170" s="11" t="s">
        <v>676</v>
      </c>
      <c r="H170" s="12">
        <v>6500</v>
      </c>
      <c r="I170" s="11" t="s">
        <v>94</v>
      </c>
      <c r="J170" s="11" t="s">
        <v>679</v>
      </c>
    </row>
    <row r="171" spans="2:10" x14ac:dyDescent="0.2">
      <c r="B171" s="11" t="s">
        <v>680</v>
      </c>
      <c r="C171" s="11" t="s">
        <v>681</v>
      </c>
      <c r="D171" s="11" t="s">
        <v>103</v>
      </c>
      <c r="E171" s="11" t="s">
        <v>103</v>
      </c>
      <c r="F171" s="11" t="s">
        <v>682</v>
      </c>
      <c r="G171" s="11" t="s">
        <v>680</v>
      </c>
      <c r="H171" s="12">
        <v>300</v>
      </c>
      <c r="I171" s="11" t="s">
        <v>94</v>
      </c>
      <c r="J171" s="11" t="s">
        <v>683</v>
      </c>
    </row>
    <row r="172" spans="2:10" x14ac:dyDescent="0.2">
      <c r="B172" s="11" t="s">
        <v>684</v>
      </c>
      <c r="C172" s="11" t="s">
        <v>685</v>
      </c>
      <c r="D172" s="11" t="s">
        <v>120</v>
      </c>
      <c r="E172" s="11" t="s">
        <v>139</v>
      </c>
      <c r="F172" s="11" t="s">
        <v>686</v>
      </c>
      <c r="G172" s="11" t="s">
        <v>684</v>
      </c>
      <c r="H172" s="12">
        <v>30000</v>
      </c>
      <c r="I172" s="11" t="s">
        <v>145</v>
      </c>
      <c r="J172" s="11" t="s">
        <v>687</v>
      </c>
    </row>
    <row r="173" spans="2:10" ht="26" x14ac:dyDescent="0.2">
      <c r="B173" s="11" t="s">
        <v>688</v>
      </c>
      <c r="C173" s="11" t="s">
        <v>689</v>
      </c>
      <c r="D173" s="11" t="s">
        <v>91</v>
      </c>
      <c r="E173" s="11" t="s">
        <v>103</v>
      </c>
      <c r="F173" s="11" t="s">
        <v>690</v>
      </c>
      <c r="G173" s="11" t="s">
        <v>688</v>
      </c>
      <c r="H173" s="12">
        <v>3000</v>
      </c>
      <c r="I173" s="11" t="s">
        <v>94</v>
      </c>
      <c r="J173" s="11" t="s">
        <v>691</v>
      </c>
    </row>
    <row r="174" spans="2:10" x14ac:dyDescent="0.2">
      <c r="B174" s="11" t="s">
        <v>692</v>
      </c>
      <c r="C174" s="11" t="s">
        <v>693</v>
      </c>
      <c r="D174" s="11" t="s">
        <v>120</v>
      </c>
      <c r="E174" s="11" t="s">
        <v>139</v>
      </c>
      <c r="F174" s="11" t="s">
        <v>694</v>
      </c>
      <c r="G174" s="11" t="s">
        <v>692</v>
      </c>
      <c r="H174" s="12">
        <v>10000</v>
      </c>
      <c r="I174" s="11" t="s">
        <v>94</v>
      </c>
      <c r="J174" s="11" t="s">
        <v>695</v>
      </c>
    </row>
    <row r="175" spans="2:10" x14ac:dyDescent="0.2">
      <c r="B175" s="11" t="s">
        <v>696</v>
      </c>
      <c r="C175" s="11" t="s">
        <v>697</v>
      </c>
      <c r="D175" s="11" t="s">
        <v>120</v>
      </c>
      <c r="E175" s="11" t="s">
        <v>139</v>
      </c>
      <c r="F175" s="11" t="s">
        <v>698</v>
      </c>
      <c r="G175" s="11" t="s">
        <v>696</v>
      </c>
      <c r="H175" s="12">
        <v>6500</v>
      </c>
      <c r="I175" s="11" t="s">
        <v>94</v>
      </c>
      <c r="J175" s="11" t="s">
        <v>699</v>
      </c>
    </row>
    <row r="176" spans="2:10" x14ac:dyDescent="0.2">
      <c r="B176" s="11" t="s">
        <v>700</v>
      </c>
      <c r="C176" s="11" t="s">
        <v>701</v>
      </c>
      <c r="D176" s="11" t="s">
        <v>120</v>
      </c>
      <c r="E176" s="11" t="s">
        <v>121</v>
      </c>
      <c r="F176" s="11" t="s">
        <v>702</v>
      </c>
      <c r="G176" s="11" t="s">
        <v>700</v>
      </c>
      <c r="H176" s="12">
        <v>15000</v>
      </c>
      <c r="I176" s="11" t="s">
        <v>94</v>
      </c>
      <c r="J176" s="11" t="s">
        <v>703</v>
      </c>
    </row>
    <row r="177" spans="2:10" x14ac:dyDescent="0.2">
      <c r="B177" s="11" t="s">
        <v>704</v>
      </c>
      <c r="C177" s="11" t="s">
        <v>705</v>
      </c>
      <c r="D177" s="11" t="s">
        <v>91</v>
      </c>
      <c r="E177" s="11" t="s">
        <v>92</v>
      </c>
      <c r="F177" s="11" t="s">
        <v>706</v>
      </c>
      <c r="G177" s="11" t="s">
        <v>704</v>
      </c>
      <c r="H177" s="12">
        <v>1500</v>
      </c>
      <c r="I177" s="11" t="s">
        <v>94</v>
      </c>
      <c r="J177" s="11" t="s">
        <v>707</v>
      </c>
    </row>
    <row r="178" spans="2:10" x14ac:dyDescent="0.2">
      <c r="B178" s="11" t="s">
        <v>708</v>
      </c>
      <c r="C178" s="11" t="s">
        <v>709</v>
      </c>
      <c r="D178" s="11" t="s">
        <v>91</v>
      </c>
      <c r="E178" s="11" t="s">
        <v>92</v>
      </c>
      <c r="F178" s="11" t="s">
        <v>710</v>
      </c>
      <c r="G178" s="11" t="s">
        <v>708</v>
      </c>
      <c r="H178" s="12">
        <v>1000</v>
      </c>
      <c r="I178" s="11" t="s">
        <v>94</v>
      </c>
      <c r="J178" s="11" t="s">
        <v>711</v>
      </c>
    </row>
    <row r="179" spans="2:10" x14ac:dyDescent="0.2">
      <c r="B179" s="11" t="s">
        <v>712</v>
      </c>
      <c r="C179" s="11" t="s">
        <v>713</v>
      </c>
      <c r="D179" s="11" t="s">
        <v>120</v>
      </c>
      <c r="E179" s="11" t="s">
        <v>121</v>
      </c>
      <c r="F179" s="11" t="s">
        <v>714</v>
      </c>
      <c r="G179" s="11" t="s">
        <v>712</v>
      </c>
      <c r="H179" s="12">
        <v>4000</v>
      </c>
      <c r="I179" s="11" t="s">
        <v>94</v>
      </c>
      <c r="J179" s="11" t="s">
        <v>715</v>
      </c>
    </row>
    <row r="180" spans="2:10" x14ac:dyDescent="0.2">
      <c r="B180" s="11" t="s">
        <v>716</v>
      </c>
      <c r="C180" s="11" t="s">
        <v>717</v>
      </c>
      <c r="D180" s="11" t="s">
        <v>120</v>
      </c>
      <c r="E180" s="11" t="s">
        <v>121</v>
      </c>
      <c r="F180" s="11" t="s">
        <v>718</v>
      </c>
      <c r="G180" s="11" t="s">
        <v>716</v>
      </c>
      <c r="H180" s="12">
        <v>6500</v>
      </c>
      <c r="I180" s="11" t="s">
        <v>94</v>
      </c>
      <c r="J180" s="11" t="s">
        <v>719</v>
      </c>
    </row>
    <row r="181" spans="2:10" x14ac:dyDescent="0.2">
      <c r="B181" s="11" t="s">
        <v>720</v>
      </c>
      <c r="C181" s="11" t="s">
        <v>721</v>
      </c>
      <c r="D181" s="11" t="s">
        <v>120</v>
      </c>
      <c r="E181" s="11" t="s">
        <v>121</v>
      </c>
      <c r="F181" s="11" t="s">
        <v>722</v>
      </c>
      <c r="G181" s="11" t="s">
        <v>720</v>
      </c>
      <c r="H181" s="12">
        <v>4000</v>
      </c>
      <c r="I181" s="11" t="s">
        <v>94</v>
      </c>
      <c r="J181" s="11" t="s">
        <v>723</v>
      </c>
    </row>
    <row r="182" spans="2:10" ht="26" x14ac:dyDescent="0.2">
      <c r="B182" s="11" t="s">
        <v>724</v>
      </c>
      <c r="C182" s="11" t="s">
        <v>725</v>
      </c>
      <c r="D182" s="11" t="s">
        <v>103</v>
      </c>
      <c r="E182" s="11" t="s">
        <v>103</v>
      </c>
      <c r="F182" s="11" t="s">
        <v>726</v>
      </c>
      <c r="G182" s="11" t="s">
        <v>724</v>
      </c>
      <c r="H182" s="12">
        <v>6500</v>
      </c>
      <c r="I182" s="11" t="s">
        <v>94</v>
      </c>
      <c r="J182" s="11" t="s">
        <v>727</v>
      </c>
    </row>
    <row r="183" spans="2:10" x14ac:dyDescent="0.2">
      <c r="B183" s="11" t="s">
        <v>728</v>
      </c>
      <c r="C183" s="11" t="s">
        <v>729</v>
      </c>
      <c r="D183" s="11" t="s">
        <v>91</v>
      </c>
      <c r="E183" s="11" t="s">
        <v>92</v>
      </c>
      <c r="F183" s="11" t="s">
        <v>730</v>
      </c>
      <c r="G183" s="11" t="s">
        <v>728</v>
      </c>
      <c r="H183" s="12">
        <v>2000</v>
      </c>
      <c r="I183" s="11" t="s">
        <v>94</v>
      </c>
      <c r="J183" s="11" t="s">
        <v>731</v>
      </c>
    </row>
    <row r="184" spans="2:10" x14ac:dyDescent="0.2">
      <c r="B184" s="11" t="s">
        <v>732</v>
      </c>
      <c r="C184" s="11" t="s">
        <v>733</v>
      </c>
      <c r="D184" s="11" t="s">
        <v>120</v>
      </c>
      <c r="E184" s="11" t="s">
        <v>121</v>
      </c>
      <c r="F184" s="11" t="s">
        <v>734</v>
      </c>
      <c r="G184" s="11" t="s">
        <v>732</v>
      </c>
      <c r="H184" s="12">
        <v>3000</v>
      </c>
      <c r="I184" s="11" t="s">
        <v>94</v>
      </c>
      <c r="J184" s="11" t="s">
        <v>735</v>
      </c>
    </row>
    <row r="185" spans="2:10" x14ac:dyDescent="0.2">
      <c r="B185" s="11" t="s">
        <v>736</v>
      </c>
      <c r="C185" s="11" t="s">
        <v>737</v>
      </c>
      <c r="D185" s="11" t="s">
        <v>120</v>
      </c>
      <c r="E185" s="11" t="s">
        <v>139</v>
      </c>
      <c r="F185" s="11" t="s">
        <v>738</v>
      </c>
      <c r="G185" s="11" t="s">
        <v>736</v>
      </c>
      <c r="H185" s="12">
        <v>60000</v>
      </c>
      <c r="I185" s="11" t="s">
        <v>131</v>
      </c>
      <c r="J185" s="11" t="s">
        <v>739</v>
      </c>
    </row>
    <row r="186" spans="2:10" x14ac:dyDescent="0.2">
      <c r="B186" s="11" t="s">
        <v>740</v>
      </c>
      <c r="C186" s="11" t="s">
        <v>741</v>
      </c>
      <c r="D186" s="11" t="s">
        <v>91</v>
      </c>
      <c r="E186" s="11" t="s">
        <v>92</v>
      </c>
      <c r="F186" s="11" t="s">
        <v>742</v>
      </c>
      <c r="G186" s="11" t="s">
        <v>740</v>
      </c>
      <c r="H186" s="12">
        <v>2500</v>
      </c>
      <c r="I186" s="11" t="s">
        <v>94</v>
      </c>
      <c r="J186" s="11" t="s">
        <v>743</v>
      </c>
    </row>
    <row r="187" spans="2:10" x14ac:dyDescent="0.2">
      <c r="B187" s="11" t="s">
        <v>744</v>
      </c>
      <c r="C187" s="11" t="s">
        <v>745</v>
      </c>
      <c r="D187" s="11" t="s">
        <v>103</v>
      </c>
      <c r="E187" s="11" t="s">
        <v>103</v>
      </c>
      <c r="F187" s="11" t="s">
        <v>746</v>
      </c>
      <c r="G187" s="11" t="s">
        <v>744</v>
      </c>
      <c r="H187" s="12">
        <v>6500</v>
      </c>
      <c r="I187" s="11" t="s">
        <v>94</v>
      </c>
      <c r="J187" s="11" t="s">
        <v>747</v>
      </c>
    </row>
    <row r="188" spans="2:10" x14ac:dyDescent="0.2">
      <c r="B188" s="11" t="s">
        <v>748</v>
      </c>
      <c r="C188" s="11" t="s">
        <v>749</v>
      </c>
      <c r="D188" s="11" t="s">
        <v>120</v>
      </c>
      <c r="E188" s="11" t="s">
        <v>139</v>
      </c>
      <c r="F188" s="11" t="s">
        <v>750</v>
      </c>
      <c r="G188" s="11" t="s">
        <v>748</v>
      </c>
      <c r="H188" s="12">
        <v>30000</v>
      </c>
      <c r="I188" s="11" t="s">
        <v>145</v>
      </c>
      <c r="J188" s="11" t="s">
        <v>751</v>
      </c>
    </row>
    <row r="189" spans="2:10" ht="26" x14ac:dyDescent="0.2">
      <c r="B189" s="11" t="s">
        <v>752</v>
      </c>
      <c r="C189" s="11" t="s">
        <v>753</v>
      </c>
      <c r="D189" s="11" t="s">
        <v>120</v>
      </c>
      <c r="E189" s="11" t="s">
        <v>139</v>
      </c>
      <c r="F189" s="11" t="s">
        <v>754</v>
      </c>
      <c r="G189" s="11" t="s">
        <v>752</v>
      </c>
      <c r="H189" s="12">
        <v>15000</v>
      </c>
      <c r="I189" s="11" t="s">
        <v>94</v>
      </c>
      <c r="J189" s="11" t="s">
        <v>755</v>
      </c>
    </row>
    <row r="190" spans="2:10" x14ac:dyDescent="0.2">
      <c r="B190" s="11" t="s">
        <v>756</v>
      </c>
      <c r="C190" s="11" t="s">
        <v>757</v>
      </c>
      <c r="D190" s="11" t="s">
        <v>120</v>
      </c>
      <c r="E190" s="11" t="s">
        <v>139</v>
      </c>
      <c r="F190" s="11" t="s">
        <v>139</v>
      </c>
      <c r="G190" s="11" t="s">
        <v>756</v>
      </c>
      <c r="H190" s="12">
        <v>4000</v>
      </c>
      <c r="I190" s="11" t="s">
        <v>94</v>
      </c>
      <c r="J190" s="11" t="s">
        <v>758</v>
      </c>
    </row>
    <row r="191" spans="2:10" x14ac:dyDescent="0.2">
      <c r="B191" s="11" t="s">
        <v>759</v>
      </c>
      <c r="C191" s="11" t="s">
        <v>760</v>
      </c>
      <c r="D191" s="11" t="s">
        <v>103</v>
      </c>
      <c r="E191" s="11" t="s">
        <v>103</v>
      </c>
      <c r="F191" s="11" t="s">
        <v>761</v>
      </c>
      <c r="G191" s="11" t="s">
        <v>759</v>
      </c>
      <c r="H191" s="12">
        <v>6500</v>
      </c>
      <c r="I191" s="11" t="s">
        <v>94</v>
      </c>
      <c r="J191" s="11" t="s">
        <v>762</v>
      </c>
    </row>
    <row r="192" spans="2:10" x14ac:dyDescent="0.2">
      <c r="B192" s="11" t="s">
        <v>763</v>
      </c>
      <c r="C192" s="11" t="s">
        <v>760</v>
      </c>
      <c r="D192" s="11" t="s">
        <v>103</v>
      </c>
      <c r="E192" s="11" t="s">
        <v>103</v>
      </c>
      <c r="F192" s="11" t="s">
        <v>761</v>
      </c>
      <c r="G192" s="11" t="s">
        <v>763</v>
      </c>
      <c r="H192" s="12">
        <v>6500</v>
      </c>
      <c r="I192" s="11" t="s">
        <v>94</v>
      </c>
      <c r="J192" s="11" t="s">
        <v>764</v>
      </c>
    </row>
    <row r="193" spans="2:10" x14ac:dyDescent="0.2">
      <c r="B193" s="11" t="s">
        <v>765</v>
      </c>
      <c r="C193" s="11" t="s">
        <v>766</v>
      </c>
      <c r="D193" s="11" t="s">
        <v>91</v>
      </c>
      <c r="E193" s="11" t="s">
        <v>92</v>
      </c>
      <c r="F193" s="11" t="s">
        <v>767</v>
      </c>
      <c r="G193" s="11" t="s">
        <v>765</v>
      </c>
      <c r="H193" s="12">
        <v>6500</v>
      </c>
      <c r="I193" s="11" t="s">
        <v>94</v>
      </c>
      <c r="J193" s="11" t="s">
        <v>768</v>
      </c>
    </row>
    <row r="194" spans="2:10" x14ac:dyDescent="0.2">
      <c r="B194" s="11" t="s">
        <v>769</v>
      </c>
      <c r="C194" s="11" t="s">
        <v>770</v>
      </c>
      <c r="D194" s="11" t="s">
        <v>103</v>
      </c>
      <c r="E194" s="11" t="s">
        <v>103</v>
      </c>
      <c r="F194" s="11" t="s">
        <v>771</v>
      </c>
      <c r="G194" s="11" t="s">
        <v>769</v>
      </c>
      <c r="H194" s="12">
        <v>45000</v>
      </c>
      <c r="I194" s="11" t="s">
        <v>131</v>
      </c>
      <c r="J194" s="11" t="s">
        <v>772</v>
      </c>
    </row>
    <row r="195" spans="2:10" x14ac:dyDescent="0.2">
      <c r="B195" s="11" t="s">
        <v>773</v>
      </c>
      <c r="C195" s="11" t="s">
        <v>774</v>
      </c>
      <c r="D195" s="11" t="s">
        <v>120</v>
      </c>
      <c r="E195" s="11" t="s">
        <v>121</v>
      </c>
      <c r="F195" s="11" t="s">
        <v>775</v>
      </c>
      <c r="G195" s="11" t="s">
        <v>773</v>
      </c>
      <c r="H195" s="12">
        <v>30000</v>
      </c>
      <c r="I195" s="11" t="s">
        <v>145</v>
      </c>
      <c r="J195" s="11" t="s">
        <v>776</v>
      </c>
    </row>
    <row r="196" spans="2:10" x14ac:dyDescent="0.2">
      <c r="B196" s="11" t="s">
        <v>777</v>
      </c>
      <c r="C196" s="11" t="s">
        <v>778</v>
      </c>
      <c r="D196" s="11" t="s">
        <v>120</v>
      </c>
      <c r="E196" s="11" t="s">
        <v>139</v>
      </c>
      <c r="F196" s="11" t="s">
        <v>779</v>
      </c>
      <c r="G196" s="11" t="s">
        <v>777</v>
      </c>
      <c r="H196" s="12">
        <v>25000</v>
      </c>
      <c r="I196" s="11" t="s">
        <v>145</v>
      </c>
      <c r="J196" s="11" t="s">
        <v>780</v>
      </c>
    </row>
    <row r="197" spans="2:10" x14ac:dyDescent="0.2">
      <c r="B197" s="11" t="s">
        <v>781</v>
      </c>
      <c r="C197" s="11" t="s">
        <v>782</v>
      </c>
      <c r="D197" s="11" t="s">
        <v>120</v>
      </c>
      <c r="E197" s="11" t="s">
        <v>139</v>
      </c>
      <c r="F197" s="11" t="s">
        <v>783</v>
      </c>
      <c r="G197" s="11" t="s">
        <v>781</v>
      </c>
      <c r="H197" s="12">
        <v>60000</v>
      </c>
      <c r="I197" s="11" t="s">
        <v>131</v>
      </c>
      <c r="J197" s="11" t="s">
        <v>784</v>
      </c>
    </row>
    <row r="198" spans="2:10" x14ac:dyDescent="0.2">
      <c r="B198" s="11" t="s">
        <v>785</v>
      </c>
      <c r="C198" s="11" t="s">
        <v>786</v>
      </c>
      <c r="D198" s="11" t="s">
        <v>91</v>
      </c>
      <c r="E198" s="11" t="s">
        <v>98</v>
      </c>
      <c r="F198" s="11" t="s">
        <v>787</v>
      </c>
      <c r="G198" s="11" t="s">
        <v>785</v>
      </c>
      <c r="H198" s="12">
        <v>2300</v>
      </c>
      <c r="I198" s="11" t="s">
        <v>94</v>
      </c>
      <c r="J198" s="11" t="s">
        <v>788</v>
      </c>
    </row>
    <row r="199" spans="2:10" x14ac:dyDescent="0.2">
      <c r="B199" s="11" t="s">
        <v>789</v>
      </c>
      <c r="C199" s="11" t="s">
        <v>790</v>
      </c>
      <c r="D199" s="11" t="s">
        <v>120</v>
      </c>
      <c r="E199" s="11" t="s">
        <v>121</v>
      </c>
      <c r="F199" s="11" t="s">
        <v>791</v>
      </c>
      <c r="G199" s="11" t="s">
        <v>789</v>
      </c>
      <c r="H199" s="12">
        <v>250</v>
      </c>
      <c r="I199" s="11" t="s">
        <v>94</v>
      </c>
      <c r="J199" s="11" t="s">
        <v>792</v>
      </c>
    </row>
    <row r="200" spans="2:10" x14ac:dyDescent="0.2">
      <c r="B200" s="11" t="s">
        <v>793</v>
      </c>
      <c r="C200" s="11" t="s">
        <v>790</v>
      </c>
      <c r="D200" s="11" t="s">
        <v>120</v>
      </c>
      <c r="E200" s="11" t="s">
        <v>121</v>
      </c>
      <c r="F200" s="11" t="s">
        <v>791</v>
      </c>
      <c r="G200" s="11" t="s">
        <v>793</v>
      </c>
      <c r="H200" s="12">
        <v>250</v>
      </c>
      <c r="I200" s="11" t="s">
        <v>94</v>
      </c>
      <c r="J200" s="11" t="s">
        <v>794</v>
      </c>
    </row>
    <row r="201" spans="2:10" x14ac:dyDescent="0.2">
      <c r="B201" s="11" t="s">
        <v>795</v>
      </c>
      <c r="C201" s="11" t="s">
        <v>790</v>
      </c>
      <c r="D201" s="11" t="s">
        <v>120</v>
      </c>
      <c r="E201" s="11" t="s">
        <v>121</v>
      </c>
      <c r="F201" s="11" t="s">
        <v>791</v>
      </c>
      <c r="G201" s="11" t="s">
        <v>795</v>
      </c>
      <c r="H201" s="12">
        <v>250</v>
      </c>
      <c r="I201" s="11" t="s">
        <v>94</v>
      </c>
      <c r="J201" s="11" t="s">
        <v>796</v>
      </c>
    </row>
    <row r="202" spans="2:10" x14ac:dyDescent="0.2">
      <c r="B202" s="11" t="s">
        <v>797</v>
      </c>
      <c r="C202" s="11" t="s">
        <v>798</v>
      </c>
      <c r="D202" s="11" t="s">
        <v>91</v>
      </c>
      <c r="E202" s="11" t="s">
        <v>92</v>
      </c>
      <c r="F202" s="11" t="s">
        <v>799</v>
      </c>
      <c r="G202" s="11" t="s">
        <v>797</v>
      </c>
      <c r="H202" s="12">
        <v>6500</v>
      </c>
      <c r="I202" s="11" t="s">
        <v>94</v>
      </c>
      <c r="J202" s="11" t="s">
        <v>800</v>
      </c>
    </row>
    <row r="203" spans="2:10" x14ac:dyDescent="0.2">
      <c r="B203" s="11" t="s">
        <v>801</v>
      </c>
      <c r="C203" s="11" t="s">
        <v>802</v>
      </c>
      <c r="D203" s="11" t="s">
        <v>120</v>
      </c>
      <c r="E203" s="11" t="s">
        <v>121</v>
      </c>
      <c r="F203" s="11" t="s">
        <v>799</v>
      </c>
      <c r="G203" s="11" t="s">
        <v>801</v>
      </c>
      <c r="H203" s="12">
        <v>5000</v>
      </c>
      <c r="I203" s="11" t="s">
        <v>94</v>
      </c>
      <c r="J203" s="11" t="s">
        <v>803</v>
      </c>
    </row>
    <row r="204" spans="2:10" x14ac:dyDescent="0.2">
      <c r="B204" s="11" t="s">
        <v>804</v>
      </c>
      <c r="C204" s="11" t="s">
        <v>805</v>
      </c>
      <c r="D204" s="11" t="s">
        <v>103</v>
      </c>
      <c r="E204" s="11" t="s">
        <v>103</v>
      </c>
      <c r="F204" s="11" t="s">
        <v>806</v>
      </c>
      <c r="G204" s="11" t="s">
        <v>804</v>
      </c>
      <c r="H204" s="12">
        <v>50000</v>
      </c>
      <c r="I204" s="11" t="s">
        <v>131</v>
      </c>
      <c r="J204" s="11" t="s">
        <v>807</v>
      </c>
    </row>
    <row r="205" spans="2:10" x14ac:dyDescent="0.2">
      <c r="B205" s="11" t="s">
        <v>808</v>
      </c>
      <c r="C205" s="11" t="s">
        <v>809</v>
      </c>
      <c r="D205" s="11" t="s">
        <v>103</v>
      </c>
      <c r="E205" s="11" t="s">
        <v>103</v>
      </c>
      <c r="F205" s="11" t="s">
        <v>810</v>
      </c>
      <c r="G205" s="11" t="s">
        <v>808</v>
      </c>
      <c r="H205" s="12">
        <v>48000</v>
      </c>
      <c r="I205" s="11" t="s">
        <v>131</v>
      </c>
      <c r="J205" s="11" t="s">
        <v>811</v>
      </c>
    </row>
    <row r="206" spans="2:10" x14ac:dyDescent="0.2">
      <c r="B206" s="11" t="s">
        <v>812</v>
      </c>
      <c r="C206" s="11" t="s">
        <v>813</v>
      </c>
      <c r="D206" s="11" t="s">
        <v>103</v>
      </c>
      <c r="E206" s="11" t="s">
        <v>103</v>
      </c>
      <c r="F206" s="11" t="s">
        <v>810</v>
      </c>
      <c r="G206" s="11" t="s">
        <v>812</v>
      </c>
      <c r="H206" s="12">
        <v>6000</v>
      </c>
      <c r="I206" s="11" t="s">
        <v>94</v>
      </c>
      <c r="J206" s="11" t="s">
        <v>814</v>
      </c>
    </row>
    <row r="207" spans="2:10" x14ac:dyDescent="0.2">
      <c r="B207" s="11" t="s">
        <v>815</v>
      </c>
      <c r="C207" s="11" t="s">
        <v>816</v>
      </c>
      <c r="D207" s="11" t="s">
        <v>103</v>
      </c>
      <c r="E207" s="11" t="s">
        <v>103</v>
      </c>
      <c r="F207" s="11" t="s">
        <v>817</v>
      </c>
      <c r="G207" s="11" t="s">
        <v>815</v>
      </c>
      <c r="H207" s="12">
        <v>35000</v>
      </c>
      <c r="I207" s="11" t="s">
        <v>145</v>
      </c>
      <c r="J207" s="11" t="s">
        <v>818</v>
      </c>
    </row>
    <row r="208" spans="2:10" x14ac:dyDescent="0.2">
      <c r="B208" s="11" t="s">
        <v>819</v>
      </c>
      <c r="C208" s="11" t="s">
        <v>816</v>
      </c>
      <c r="D208" s="11" t="s">
        <v>103</v>
      </c>
      <c r="E208" s="11" t="s">
        <v>103</v>
      </c>
      <c r="F208" s="11" t="s">
        <v>817</v>
      </c>
      <c r="G208" s="11" t="s">
        <v>819</v>
      </c>
      <c r="H208" s="12">
        <v>35000</v>
      </c>
      <c r="I208" s="11" t="s">
        <v>145</v>
      </c>
      <c r="J208" s="11" t="s">
        <v>820</v>
      </c>
    </row>
    <row r="209" spans="2:10" x14ac:dyDescent="0.2">
      <c r="B209" s="11" t="s">
        <v>821</v>
      </c>
      <c r="C209" s="11" t="s">
        <v>816</v>
      </c>
      <c r="D209" s="11" t="s">
        <v>103</v>
      </c>
      <c r="E209" s="11" t="s">
        <v>103</v>
      </c>
      <c r="F209" s="11" t="s">
        <v>817</v>
      </c>
      <c r="G209" s="11" t="s">
        <v>821</v>
      </c>
      <c r="H209" s="12">
        <v>35000</v>
      </c>
      <c r="I209" s="11" t="s">
        <v>145</v>
      </c>
      <c r="J209" s="11" t="s">
        <v>822</v>
      </c>
    </row>
  </sheetData>
  <mergeCells count="1">
    <mergeCell ref="B2:J2"/>
  </mergeCell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B2:Q5"/>
  <sheetViews>
    <sheetView showGridLines="0" topLeftCell="E1" workbookViewId="0">
      <selection activeCell="L19" sqref="L19"/>
    </sheetView>
  </sheetViews>
  <sheetFormatPr baseColWidth="10" defaultColWidth="8.83203125" defaultRowHeight="15" x14ac:dyDescent="0.2"/>
  <cols>
    <col min="1" max="1" width="3" customWidth="1"/>
    <col min="2" max="2" width="10" customWidth="1"/>
    <col min="3" max="4" width="15" customWidth="1"/>
    <col min="5" max="5" width="35" customWidth="1"/>
    <col min="6" max="6" width="12" customWidth="1"/>
    <col min="7" max="7" width="13" customWidth="1"/>
    <col min="8" max="8" width="18" customWidth="1"/>
    <col min="9" max="9" width="16" customWidth="1"/>
    <col min="10" max="10" width="11" customWidth="1"/>
    <col min="11" max="11" width="30" customWidth="1"/>
    <col min="12" max="12" width="19.5" bestFit="1" customWidth="1"/>
    <col min="13" max="13" width="10" customWidth="1"/>
    <col min="14" max="14" width="12" customWidth="1"/>
    <col min="15" max="15" width="16" customWidth="1"/>
    <col min="16" max="16" width="25" customWidth="1"/>
  </cols>
  <sheetData>
    <row r="2" spans="2:17" ht="28" customHeight="1" x14ac:dyDescent="0.2">
      <c r="B2" s="55" t="s">
        <v>823</v>
      </c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</row>
    <row r="3" spans="2:17" x14ac:dyDescent="0.2">
      <c r="B3" s="58" t="s">
        <v>824</v>
      </c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</row>
    <row r="4" spans="2:17" ht="32" customHeight="1" x14ac:dyDescent="0.2">
      <c r="B4" s="6" t="s">
        <v>825</v>
      </c>
      <c r="C4" s="6" t="s">
        <v>826</v>
      </c>
      <c r="D4" s="6" t="s">
        <v>80</v>
      </c>
      <c r="E4" s="6" t="s">
        <v>827</v>
      </c>
      <c r="F4" s="6" t="s">
        <v>82</v>
      </c>
      <c r="G4" s="6" t="s">
        <v>83</v>
      </c>
      <c r="H4" s="6" t="s">
        <v>84</v>
      </c>
      <c r="I4" s="6" t="s">
        <v>85</v>
      </c>
      <c r="J4" s="6" t="s">
        <v>828</v>
      </c>
      <c r="K4" s="6" t="s">
        <v>829</v>
      </c>
      <c r="L4" s="6" t="s">
        <v>78</v>
      </c>
      <c r="M4" s="6" t="s">
        <v>830</v>
      </c>
      <c r="N4" s="6" t="s">
        <v>831</v>
      </c>
      <c r="O4" s="6" t="s">
        <v>832</v>
      </c>
      <c r="P4" s="52" t="s">
        <v>833</v>
      </c>
      <c r="Q4" s="51" t="s">
        <v>834</v>
      </c>
    </row>
    <row r="5" spans="2:17" x14ac:dyDescent="0.2">
      <c r="B5" s="31"/>
      <c r="C5" s="7"/>
      <c r="D5" s="7"/>
      <c r="E5" s="7"/>
      <c r="F5" s="7"/>
      <c r="G5" s="7"/>
      <c r="H5" s="7"/>
      <c r="I5" s="7"/>
      <c r="J5" s="7"/>
      <c r="K5" s="7"/>
      <c r="L5" s="7"/>
      <c r="M5" s="9"/>
      <c r="N5" s="7"/>
      <c r="O5" s="7"/>
      <c r="P5" s="53"/>
      <c r="Q5" s="54"/>
    </row>
  </sheetData>
  <mergeCells count="2">
    <mergeCell ref="B3:P3"/>
    <mergeCell ref="B2:P2"/>
  </mergeCells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2:Q44"/>
  <sheetViews>
    <sheetView showGridLines="0" zoomScale="112" workbookViewId="0">
      <pane ySplit="4" topLeftCell="A29" activePane="bottomLeft" state="frozen"/>
      <selection pane="bottomLeft" activeCell="C21" sqref="C21"/>
    </sheetView>
  </sheetViews>
  <sheetFormatPr baseColWidth="10" defaultColWidth="8.83203125" defaultRowHeight="15" x14ac:dyDescent="0.2"/>
  <cols>
    <col min="1" max="1" width="3" customWidth="1"/>
    <col min="2" max="2" width="25" customWidth="1"/>
    <col min="3" max="3" width="32" customWidth="1"/>
    <col min="4" max="4" width="14" customWidth="1"/>
    <col min="5" max="5" width="24" customWidth="1"/>
    <col min="6" max="6" width="28" customWidth="1"/>
    <col min="7" max="16" width="14" customWidth="1"/>
  </cols>
  <sheetData>
    <row r="2" spans="2:6" ht="32" customHeight="1" x14ac:dyDescent="0.2">
      <c r="B2" s="65" t="s">
        <v>835</v>
      </c>
      <c r="C2" s="56"/>
      <c r="D2" s="56"/>
      <c r="E2" s="56"/>
      <c r="F2" s="56"/>
    </row>
    <row r="3" spans="2:6" ht="24" customHeight="1" x14ac:dyDescent="0.2">
      <c r="B3" s="71" t="s">
        <v>836</v>
      </c>
      <c r="C3" s="56"/>
      <c r="D3" s="56"/>
      <c r="E3" s="56"/>
      <c r="F3" s="56"/>
    </row>
    <row r="5" spans="2:6" ht="22" customHeight="1" x14ac:dyDescent="0.2">
      <c r="B5" s="60" t="s">
        <v>837</v>
      </c>
      <c r="C5" s="56"/>
      <c r="D5" s="56"/>
      <c r="E5" s="56"/>
      <c r="F5" s="56"/>
    </row>
    <row r="6" spans="2:6" x14ac:dyDescent="0.2">
      <c r="B6" s="13" t="s">
        <v>838</v>
      </c>
      <c r="C6" s="14" t="s">
        <v>839</v>
      </c>
      <c r="E6" s="13" t="s">
        <v>840</v>
      </c>
      <c r="F6" s="14">
        <v>2026</v>
      </c>
    </row>
    <row r="7" spans="2:6" x14ac:dyDescent="0.2">
      <c r="B7" s="13" t="s">
        <v>841</v>
      </c>
      <c r="C7" s="14" t="s">
        <v>842</v>
      </c>
    </row>
    <row r="8" spans="2:6" x14ac:dyDescent="0.2">
      <c r="B8" s="13" t="s">
        <v>843</v>
      </c>
      <c r="C8" s="61"/>
    </row>
    <row r="10" spans="2:6" ht="22" customHeight="1" x14ac:dyDescent="0.2">
      <c r="B10" s="60" t="s">
        <v>844</v>
      </c>
      <c r="C10" s="56"/>
      <c r="D10" s="56"/>
      <c r="E10" s="56"/>
      <c r="F10" s="56"/>
    </row>
    <row r="11" spans="2:6" ht="48" customHeight="1" x14ac:dyDescent="0.2">
      <c r="B11" s="69" t="s">
        <v>845</v>
      </c>
      <c r="C11" s="56"/>
      <c r="D11" s="56"/>
      <c r="E11" s="56"/>
      <c r="F11" s="56"/>
    </row>
    <row r="13" spans="2:6" ht="18" customHeight="1" x14ac:dyDescent="0.2">
      <c r="B13" s="13" t="s">
        <v>846</v>
      </c>
      <c r="C13" s="14" t="s">
        <v>120</v>
      </c>
      <c r="E13" s="13" t="s">
        <v>847</v>
      </c>
      <c r="F13" s="72" t="str">
        <f>IFERROR(INDEX(tblEquipos[Descripcion],MATCH($C$16,tblEquipos[Matricula],0)),"(seleccione un equipo)")</f>
        <v>Transformador 60000 KVA - TOLU VIEJO</v>
      </c>
    </row>
    <row r="14" spans="2:6" ht="18" customHeight="1" x14ac:dyDescent="0.2">
      <c r="B14" s="13" t="s">
        <v>848</v>
      </c>
      <c r="C14" s="14" t="s">
        <v>139</v>
      </c>
      <c r="F14" s="73"/>
    </row>
    <row r="15" spans="2:6" ht="16" x14ac:dyDescent="0.2">
      <c r="B15" s="13" t="s">
        <v>849</v>
      </c>
      <c r="C15" s="14" t="s">
        <v>783</v>
      </c>
      <c r="E15" s="13" t="s">
        <v>850</v>
      </c>
      <c r="F15" s="15">
        <f>IFERROR(INDEX(tblEquipos[Potencia_KVA],MATCH($C$16,tblEquipos[Matricula],0)),0)</f>
        <v>60000</v>
      </c>
    </row>
    <row r="16" spans="2:6" x14ac:dyDescent="0.2">
      <c r="B16" s="13" t="s">
        <v>851</v>
      </c>
      <c r="C16" s="14" t="s">
        <v>781</v>
      </c>
      <c r="E16" s="13" t="s">
        <v>852</v>
      </c>
      <c r="F16" s="16" t="str">
        <f>IF($C$16="","🔵 Seleccione una matrícula",IF(IFERROR(MATCH($C$16,tblEquipos[Matricula],0),0)=0,"🔴 Matrícula no existe","🟢 Equipo identificado"))</f>
        <v>🟢 Equipo identificado</v>
      </c>
    </row>
    <row r="18" spans="1:17" ht="22" customHeight="1" x14ac:dyDescent="0.2">
      <c r="B18" s="60" t="s">
        <v>853</v>
      </c>
      <c r="C18" s="56"/>
      <c r="D18" s="56"/>
      <c r="E18" s="56"/>
      <c r="F18" s="56"/>
    </row>
    <row r="19" spans="1:17" x14ac:dyDescent="0.2">
      <c r="B19" s="13" t="s">
        <v>854</v>
      </c>
      <c r="C19" s="61" t="s">
        <v>927</v>
      </c>
      <c r="D19" s="62"/>
      <c r="E19" s="62"/>
      <c r="F19" s="63"/>
    </row>
    <row r="20" spans="1:17" x14ac:dyDescent="0.2">
      <c r="B20" s="13" t="s">
        <v>855</v>
      </c>
      <c r="C20" s="91" t="str">
        <f>IFERROR(INDEX(Catalogo_Suministros!$B$4:$B$28,MATCH($C$19,Catalogo_Suministros!$C$4:$C$28,0)),"-")</f>
        <v>S25</v>
      </c>
      <c r="E20" s="13" t="s">
        <v>856</v>
      </c>
      <c r="F20" s="91" t="str">
        <f>IFERROR(INDEX(Catalogo_Suministros!$D$4:$D$28,MATCH($C$20,Catalogo_Suministros!$B$4:$B$28,0)),"-")</f>
        <v>Und</v>
      </c>
    </row>
    <row r="21" spans="1:17" ht="17" customHeight="1" x14ac:dyDescent="0.2">
      <c r="B21" s="13" t="s">
        <v>857</v>
      </c>
      <c r="C21" s="14" t="s">
        <v>931</v>
      </c>
      <c r="E21" s="13" t="s">
        <v>858</v>
      </c>
      <c r="F21" s="92">
        <f>IFERROR(INDEX(Catalogo_Suministros!$H$4:$H$28,MATCH($C$20,Catalogo_Suministros!$B$4:$B$28,0)),0)</f>
        <v>6</v>
      </c>
    </row>
    <row r="22" spans="1:17" x14ac:dyDescent="0.2">
      <c r="B22" s="48" t="s">
        <v>859</v>
      </c>
      <c r="C22" s="49">
        <v>1</v>
      </c>
      <c r="E22" s="13" t="s">
        <v>860</v>
      </c>
      <c r="F22" s="18">
        <f>IF(C6="INGRESO",F21+C22,IF(C6="EGRESO",F21-C22,F21))</f>
        <v>5</v>
      </c>
    </row>
    <row r="23" spans="1:17" x14ac:dyDescent="0.2">
      <c r="B23" s="66" t="s">
        <v>861</v>
      </c>
      <c r="C23" s="67"/>
      <c r="D23" s="68"/>
      <c r="E23" s="68"/>
      <c r="F23" s="68"/>
    </row>
    <row r="24" spans="1:17" x14ac:dyDescent="0.2">
      <c r="A24" s="45"/>
      <c r="B24" s="50" t="s">
        <v>862</v>
      </c>
      <c r="C24" s="104">
        <v>87654321</v>
      </c>
      <c r="D24" s="47"/>
      <c r="E24" s="43"/>
      <c r="F24" s="44"/>
      <c r="G24" s="46"/>
    </row>
    <row r="26" spans="1:17" ht="22" customHeight="1" x14ac:dyDescent="0.2">
      <c r="B26" s="60" t="s">
        <v>863</v>
      </c>
      <c r="C26" s="56"/>
      <c r="D26" s="56"/>
      <c r="E26" s="56"/>
      <c r="F26" s="56"/>
    </row>
    <row r="27" spans="1:17" ht="28" customHeight="1" x14ac:dyDescent="0.2">
      <c r="B27" s="70" t="str">
        <f>IF($C$16="","⚠ Seleccione primero un equipo (matrícula)",IF(IFERROR(MATCH($C$16,tblEquipos[Matricula],0),0)=0,"🔴 Matrícula no existe en Equipos",IF($C$20="-","⚠ Seleccione un suministro válido",IF(AND($C$6="EGRESO",$C$22&gt;$F$21),"🔴 STOCK INSUFICIENTE — no confirme",IF($C$22&lt;=0,"⚠ La cantidad debe ser mayor a cero",IF($C$24="","⚠ Ingrese el número de ODT para confirmar","🟢 LISTO PARA CONFIRMAR"))))))</f>
        <v>🟢 LISTO PARA CONFIRMAR</v>
      </c>
      <c r="C27" s="62"/>
      <c r="D27" s="62"/>
      <c r="E27" s="62"/>
      <c r="F27" s="63"/>
    </row>
    <row r="29" spans="1:17" ht="20" customHeight="1" x14ac:dyDescent="0.2">
      <c r="B29" s="64" t="s">
        <v>864</v>
      </c>
      <c r="C29" s="56"/>
      <c r="D29" s="56"/>
      <c r="E29" s="56"/>
      <c r="F29" s="56"/>
    </row>
    <row r="30" spans="1:17" ht="32" customHeight="1" x14ac:dyDescent="0.2">
      <c r="B30" s="98" t="s">
        <v>825</v>
      </c>
      <c r="C30" s="94" t="s">
        <v>826</v>
      </c>
      <c r="D30" s="94" t="s">
        <v>80</v>
      </c>
      <c r="E30" s="94" t="s">
        <v>827</v>
      </c>
      <c r="F30" s="94" t="s">
        <v>82</v>
      </c>
      <c r="G30" s="94" t="s">
        <v>83</v>
      </c>
      <c r="H30" s="94" t="s">
        <v>84</v>
      </c>
      <c r="I30" s="94" t="s">
        <v>85</v>
      </c>
      <c r="J30" s="94" t="s">
        <v>828</v>
      </c>
      <c r="K30" s="94" t="s">
        <v>829</v>
      </c>
      <c r="L30" s="94" t="s">
        <v>78</v>
      </c>
      <c r="M30" s="94" t="s">
        <v>830</v>
      </c>
      <c r="N30" s="94" t="s">
        <v>831</v>
      </c>
      <c r="O30" s="94" t="s">
        <v>832</v>
      </c>
      <c r="P30" s="94" t="s">
        <v>833</v>
      </c>
      <c r="Q30" s="100" t="s">
        <v>834</v>
      </c>
    </row>
    <row r="31" spans="1:17" ht="42" x14ac:dyDescent="0.2">
      <c r="B31" s="99">
        <f>F6</f>
        <v>2026</v>
      </c>
      <c r="C31" s="95" t="str">
        <f>"M-"&amp;TEXT(COUNTA(tblMovimientos[Movimiento_ID])+1,"0000")</f>
        <v>M-0001</v>
      </c>
      <c r="D31" s="95" t="str">
        <f>C16</f>
        <v>T1A-A/M-TVJ</v>
      </c>
      <c r="E31" s="95" t="str">
        <f>F13</f>
        <v>Transformador 60000 KVA - TOLU VIEJO</v>
      </c>
      <c r="F31" s="95" t="str">
        <f>C13</f>
        <v>OCCIDENTE</v>
      </c>
      <c r="G31" s="95" t="str">
        <f>C14</f>
        <v>SUCRE</v>
      </c>
      <c r="H31" s="95" t="str">
        <f>C15</f>
        <v>TOLU VIEJO</v>
      </c>
      <c r="I31" s="95" t="str">
        <f>C16</f>
        <v>T1A-A/M-TVJ</v>
      </c>
      <c r="J31" s="95" t="str">
        <f>C20</f>
        <v>S25</v>
      </c>
      <c r="K31" s="95" t="str">
        <f>C19</f>
        <v>Buje 66/110 KV </v>
      </c>
      <c r="L31" s="95" t="str">
        <f>C21</f>
        <v>RHM Internacional USA</v>
      </c>
      <c r="M31" s="96">
        <f>C22</f>
        <v>1</v>
      </c>
      <c r="N31" s="95" t="str">
        <f>C6</f>
        <v>EGRESO</v>
      </c>
      <c r="O31" s="95" t="str">
        <f>C7</f>
        <v>Brayan Parra</v>
      </c>
      <c r="P31" s="97" t="str">
        <f>IF(ISBLANK($C$8),"",$C$8)</f>
        <v/>
      </c>
      <c r="Q31" s="101">
        <f>IF(ISBLANK($C$24),"",$C$24)</f>
        <v>87654321</v>
      </c>
    </row>
    <row r="33" spans="2:6" ht="22" customHeight="1" x14ac:dyDescent="0.2">
      <c r="B33" s="60" t="s">
        <v>865</v>
      </c>
      <c r="C33" s="56"/>
      <c r="D33" s="56"/>
      <c r="E33" s="56"/>
      <c r="F33" s="56"/>
    </row>
    <row r="34" spans="2:6" x14ac:dyDescent="0.2">
      <c r="B34" s="103" t="s">
        <v>937</v>
      </c>
      <c r="C34" s="56"/>
      <c r="D34" s="56"/>
      <c r="E34" s="56"/>
      <c r="F34" s="56"/>
    </row>
    <row r="35" spans="2:6" x14ac:dyDescent="0.2">
      <c r="B35" s="56"/>
      <c r="C35" s="56"/>
      <c r="D35" s="56"/>
      <c r="E35" s="56"/>
      <c r="F35" s="56"/>
    </row>
    <row r="37" spans="2:6" ht="28" customHeight="1" x14ac:dyDescent="0.2"/>
    <row r="38" spans="2:6" x14ac:dyDescent="0.2">
      <c r="C38" s="59" t="s">
        <v>866</v>
      </c>
      <c r="D38" s="56"/>
      <c r="E38" s="56"/>
      <c r="F38" s="56"/>
    </row>
    <row r="40" spans="2:6" ht="36" customHeight="1" x14ac:dyDescent="0.2"/>
    <row r="41" spans="2:6" x14ac:dyDescent="0.2">
      <c r="C41" s="59" t="s">
        <v>867</v>
      </c>
      <c r="D41" s="56"/>
      <c r="E41" s="56"/>
      <c r="F41" s="56"/>
    </row>
    <row r="43" spans="2:6" ht="28" customHeight="1" x14ac:dyDescent="0.2"/>
    <row r="44" spans="2:6" x14ac:dyDescent="0.2">
      <c r="C44" s="59" t="s">
        <v>868</v>
      </c>
      <c r="D44" s="56"/>
      <c r="E44" s="56"/>
      <c r="F44" s="56"/>
    </row>
  </sheetData>
  <mergeCells count="18">
    <mergeCell ref="B2:F2"/>
    <mergeCell ref="B23:F23"/>
    <mergeCell ref="B10:F10"/>
    <mergeCell ref="B11:F11"/>
    <mergeCell ref="B27:F27"/>
    <mergeCell ref="B3:F3"/>
    <mergeCell ref="B5:F5"/>
    <mergeCell ref="F13:F14"/>
    <mergeCell ref="C8"/>
    <mergeCell ref="B26:F26"/>
    <mergeCell ref="C44:F44"/>
    <mergeCell ref="B33:F33"/>
    <mergeCell ref="C19:F19"/>
    <mergeCell ref="B34:F35"/>
    <mergeCell ref="B18:F18"/>
    <mergeCell ref="B29:F29"/>
    <mergeCell ref="C41:F41"/>
    <mergeCell ref="C38:F38"/>
  </mergeCells>
  <conditionalFormatting sqref="B27:F27">
    <cfRule type="expression" dxfId="7" priority="1">
      <formula>ISNUMBER(SEARCH("🟢",$B$27))</formula>
    </cfRule>
    <cfRule type="expression" dxfId="6" priority="2">
      <formula>ISNUMBER(SEARCH("🔴",$B$27))</formula>
    </cfRule>
    <cfRule type="expression" dxfId="5" priority="3">
      <formula>ISNUMBER(SEARCH("⚠",$B$27))</formula>
    </cfRule>
  </conditionalFormatting>
  <dataValidations count="5">
    <dataValidation type="list" showErrorMessage="1" sqref="C6" xr:uid="{00000000-0002-0000-0600-000000000000}">
      <formula1>"INGRESO,EGRESO"</formula1>
    </dataValidation>
    <dataValidation type="list" sqref="F6" xr:uid="{00000000-0002-0000-0600-000001000000}">
      <formula1>"2023,2024,2025,2026,2027,2028,2029,2030"</formula1>
    </dataValidation>
    <dataValidation type="list" allowBlank="1" sqref="C13" xr:uid="{00000000-0002-0000-0600-000002000000}">
      <formula1>"ORIENTE,BOLIVAR,OCCIDENTE"</formula1>
    </dataValidation>
    <dataValidation type="list" allowBlank="1" sqref="C14" xr:uid="{00000000-0002-0000-0600-000003000000}">
      <formula1>"CESAR,MAGDALENA,BOLIVAR,CORDOBA,SUCRE"</formula1>
    </dataValidation>
    <dataValidation type="whole" operator="greaterThan" sqref="C22 C24" xr:uid="{00000000-0002-0000-0600-000008000000}">
      <formula1>0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xr:uid="{00000000-0002-0000-0600-000004000000}">
          <x14:formula1>
            <xm:f>Equipos!$F$4:$F$209</xm:f>
          </x14:formula1>
          <xm:sqref>C15</xm:sqref>
        </x14:dataValidation>
        <x14:dataValidation type="list" allowBlank="1" xr:uid="{00000000-0002-0000-0600-000005000000}">
          <x14:formula1>
            <xm:f>Equipos!$B$4:$B$209</xm:f>
          </x14:formula1>
          <xm:sqref>C16</xm:sqref>
        </x14:dataValidation>
        <x14:dataValidation type="list" allowBlank="1" showInputMessage="1" showErrorMessage="1" xr:uid="{5EF1C543-5051-AB43-826E-F6F1474E122B}">
          <x14:formula1>
            <xm:f>Catalogo_Suministros!$C$4:$C$28</xm:f>
          </x14:formula1>
          <xm:sqref>C19</xm:sqref>
        </x14:dataValidation>
        <x14:dataValidation type="list" allowBlank="1" showInputMessage="1" promptTitle="Marca" prompt="Seleccione la marca del suministro elegido" xr:uid="{F2C0065B-AF0B-094A-AA2E-613F30B6D71E}">
          <x14:formula1>
            <xm:f>OFFSET(ListasMarcas!$A$2,0,MATCH($C$20,ListasMarcas!$1:$1,0)-1,5,1)</xm:f>
          </x14:formula1>
          <xm:sqref>C21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B2:O55"/>
  <sheetViews>
    <sheetView showGridLines="0" workbookViewId="0">
      <selection activeCell="O15" sqref="O15"/>
    </sheetView>
  </sheetViews>
  <sheetFormatPr baseColWidth="10" defaultColWidth="8.83203125" defaultRowHeight="15" x14ac:dyDescent="0.2"/>
  <cols>
    <col min="1" max="1" width="2" customWidth="1"/>
    <col min="2" max="2" width="13.83203125" bestFit="1" customWidth="1"/>
    <col min="3" max="3" width="9.6640625" bestFit="1" customWidth="1"/>
    <col min="4" max="4" width="10.1640625" bestFit="1" customWidth="1"/>
    <col min="5" max="5" width="14" bestFit="1" customWidth="1"/>
    <col min="6" max="6" width="5.83203125" bestFit="1" customWidth="1"/>
    <col min="7" max="7" width="6" bestFit="1" customWidth="1"/>
    <col min="8" max="8" width="12.6640625" bestFit="1" customWidth="1"/>
    <col min="9" max="9" width="4.33203125" bestFit="1" customWidth="1"/>
    <col min="10" max="10" width="4.1640625" bestFit="1" customWidth="1"/>
    <col min="11" max="12" width="16" customWidth="1"/>
    <col min="13" max="13" width="2" customWidth="1"/>
    <col min="14" max="15" width="13.83203125" customWidth="1"/>
  </cols>
  <sheetData>
    <row r="2" spans="2:15" ht="34" customHeight="1" x14ac:dyDescent="0.2">
      <c r="B2" s="65" t="s">
        <v>869</v>
      </c>
      <c r="C2" s="56"/>
      <c r="D2" s="56"/>
      <c r="E2" s="56"/>
      <c r="F2" s="56"/>
      <c r="G2" s="56"/>
      <c r="H2" s="56"/>
      <c r="I2" s="56"/>
    </row>
    <row r="3" spans="2:15" x14ac:dyDescent="0.2">
      <c r="B3" s="88" t="s">
        <v>870</v>
      </c>
      <c r="C3" s="56"/>
      <c r="D3" s="56"/>
      <c r="E3" s="56"/>
      <c r="F3" s="56"/>
      <c r="G3" s="56"/>
      <c r="H3" s="56"/>
      <c r="I3" s="56"/>
    </row>
    <row r="4" spans="2:15" ht="20" customHeight="1" x14ac:dyDescent="0.2">
      <c r="B4" s="80" t="s">
        <v>871</v>
      </c>
      <c r="C4" s="63"/>
      <c r="F4" s="89" t="s">
        <v>872</v>
      </c>
      <c r="G4" s="63"/>
      <c r="J4" s="74" t="s">
        <v>873</v>
      </c>
      <c r="K4" s="63"/>
      <c r="N4" s="32" t="s">
        <v>874</v>
      </c>
      <c r="O4" s="33"/>
    </row>
    <row r="5" spans="2:15" ht="42" customHeight="1" x14ac:dyDescent="0.3">
      <c r="B5" s="85">
        <f>ROWS(tblSuministros[ID])</f>
        <v>25</v>
      </c>
      <c r="C5" s="63"/>
      <c r="F5" s="83">
        <f>COUNTIFS(tblSuministros[Stock_Actual],"&gt;3")</f>
        <v>11</v>
      </c>
      <c r="G5" s="63"/>
      <c r="J5" s="86">
        <f>COUNTIFS(tblSuministros[Stock_Actual],"&lt;=3")</f>
        <v>14</v>
      </c>
      <c r="K5" s="63"/>
      <c r="N5" s="34">
        <f>SUM(tblSuministros[Stock_Inicial])</f>
        <v>556</v>
      </c>
      <c r="O5" s="35"/>
    </row>
    <row r="6" spans="2:15" x14ac:dyDescent="0.2">
      <c r="N6" s="36"/>
      <c r="O6" s="36"/>
    </row>
    <row r="7" spans="2:15" ht="20" customHeight="1" x14ac:dyDescent="0.2">
      <c r="B7" s="90" t="s">
        <v>875</v>
      </c>
      <c r="C7" s="63"/>
      <c r="F7" s="89" t="s">
        <v>876</v>
      </c>
      <c r="G7" s="63"/>
      <c r="J7" s="74" t="s">
        <v>877</v>
      </c>
      <c r="K7" s="63"/>
      <c r="N7" s="37" t="s">
        <v>878</v>
      </c>
      <c r="O7" s="38"/>
    </row>
    <row r="8" spans="2:15" ht="42" customHeight="1" x14ac:dyDescent="0.3">
      <c r="B8" s="84">
        <f>SUM(tblSuministros[Stock_Actual])</f>
        <v>556</v>
      </c>
      <c r="C8" s="63"/>
      <c r="F8" s="83">
        <f>SUMIFS(tblMovimientos[Cantidad],tblMovimientos[Tipo],"INGRESO")</f>
        <v>0</v>
      </c>
      <c r="G8" s="63"/>
      <c r="J8" s="86">
        <f>SUMIFS(tblMovimientos[Cantidad],tblMovimientos[Tipo],"EGRESO")</f>
        <v>0</v>
      </c>
      <c r="K8" s="63"/>
      <c r="N8" s="39">
        <f>SUMIFS(tblMovimientos[Cantidad],tblMovimientos[Tipo],"EGRESO")</f>
        <v>0</v>
      </c>
      <c r="O8" s="35"/>
    </row>
    <row r="9" spans="2:15" x14ac:dyDescent="0.2">
      <c r="N9" s="36"/>
      <c r="O9" s="36"/>
    </row>
    <row r="10" spans="2:15" ht="20" customHeight="1" x14ac:dyDescent="0.2">
      <c r="B10" s="80" t="s">
        <v>879</v>
      </c>
      <c r="C10" s="63"/>
      <c r="F10" s="90" t="s">
        <v>880</v>
      </c>
      <c r="G10" s="63"/>
      <c r="J10" s="87" t="s">
        <v>881</v>
      </c>
      <c r="K10" s="63"/>
      <c r="N10" s="40" t="s">
        <v>882</v>
      </c>
      <c r="O10" s="41"/>
    </row>
    <row r="11" spans="2:15" ht="42" customHeight="1" x14ac:dyDescent="0.3">
      <c r="B11" s="85">
        <f>ROWS(tblEquipos[Equipo_ID])</f>
        <v>206</v>
      </c>
      <c r="C11" s="63"/>
      <c r="F11" s="84">
        <f>COUNTIF(tblMovimientos[Movimiento_ID],"M-*")</f>
        <v>0</v>
      </c>
      <c r="G11" s="63"/>
      <c r="J11" s="75">
        <f>IFERROR(SUM(tblSuministros[Stock_Actual])/MAX(1,SUM(tblSuministros[Stock_Inicial])+SUMIFS(tblMovimientos[Cantidad],tblMovimientos[Tipo],"INGRESO")),0)</f>
        <v>1</v>
      </c>
      <c r="K11" s="63"/>
      <c r="N11" s="42">
        <f>IFERROR(SUM(tblSuministros[Stock_Actual])/MAX(1,SUM(tblSuministros[Stock_Inicial])+SUMIFS(tblMovimientos[Cantidad],tblMovimientos[Tipo],"INGRESO")),0)</f>
        <v>1</v>
      </c>
      <c r="O11" s="35"/>
    </row>
    <row r="12" spans="2:15" x14ac:dyDescent="0.2">
      <c r="N12" s="17"/>
      <c r="O12" s="17"/>
    </row>
    <row r="13" spans="2:15" ht="22" customHeight="1" x14ac:dyDescent="0.2">
      <c r="B13" s="76" t="s">
        <v>883</v>
      </c>
      <c r="C13" s="56"/>
      <c r="D13" s="56"/>
      <c r="E13" s="56"/>
      <c r="F13" s="56"/>
      <c r="G13" s="56"/>
      <c r="H13" s="56"/>
      <c r="I13" s="56"/>
      <c r="J13" s="56"/>
      <c r="K13" s="56"/>
      <c r="L13" s="56"/>
    </row>
    <row r="14" spans="2:15" ht="28" customHeight="1" x14ac:dyDescent="0.2">
      <c r="B14" s="19" t="s">
        <v>36</v>
      </c>
      <c r="C14" s="80" t="s">
        <v>884</v>
      </c>
      <c r="D14" s="78"/>
      <c r="E14" s="78"/>
      <c r="F14" s="19" t="s">
        <v>885</v>
      </c>
      <c r="G14" s="19" t="s">
        <v>886</v>
      </c>
      <c r="H14" s="19" t="s">
        <v>887</v>
      </c>
      <c r="I14" s="80" t="s">
        <v>888</v>
      </c>
      <c r="J14" s="78"/>
      <c r="K14" s="78"/>
      <c r="L14" s="78"/>
    </row>
    <row r="15" spans="2:15" ht="18" customHeight="1" x14ac:dyDescent="0.2">
      <c r="B15" s="20" t="s">
        <v>45</v>
      </c>
      <c r="C15" s="77" t="str">
        <f>INDEX(tblSuministros[Nombre],MATCH($B15,tblSuministros[ID],0))</f>
        <v>Suministro de coraza </v>
      </c>
      <c r="D15" s="78"/>
      <c r="E15" s="78"/>
      <c r="F15" s="21">
        <f>INDEX(tblSuministros[Stock_Actual],MATCH($B15,tblSuministros[ID],0))</f>
        <v>0</v>
      </c>
      <c r="G15" s="9">
        <f>INDEX(tblSuministros[Stock_Inicial],MATCH($B15,tblSuministros[ID],0))</f>
        <v>0</v>
      </c>
      <c r="H15" s="22">
        <f t="shared" ref="H15:H22" si="0">IFERROR($F15/MAX(1,$G15),0)</f>
        <v>0</v>
      </c>
      <c r="I15" s="82" t="str">
        <f>INDEX(tblSuministros[Alerta],MATCH($B15,tblSuministros[ID],0))</f>
        <v>🔴 SIN STOCK</v>
      </c>
      <c r="J15" s="78"/>
      <c r="K15" s="78"/>
      <c r="L15" s="78"/>
    </row>
    <row r="16" spans="2:15" ht="18" customHeight="1" x14ac:dyDescent="0.2">
      <c r="B16" s="20" t="s">
        <v>48</v>
      </c>
      <c r="C16" s="77" t="str">
        <f>INDEX(tblSuministros[Nombre],MATCH($B16,tblSuministros[ID],0))</f>
        <v>Suministro de radiadores </v>
      </c>
      <c r="D16" s="78"/>
      <c r="E16" s="78"/>
      <c r="F16" s="21">
        <f>INDEX(tblSuministros[Stock_Actual],MATCH($B16,tblSuministros[ID],0))</f>
        <v>6</v>
      </c>
      <c r="G16" s="9">
        <f>INDEX(tblSuministros[Stock_Inicial],MATCH($B16,tblSuministros[ID],0))</f>
        <v>6</v>
      </c>
      <c r="H16" s="22">
        <f t="shared" si="0"/>
        <v>1</v>
      </c>
      <c r="I16" s="82" t="str">
        <f>INDEX(tblSuministros[Alerta],MATCH($B16,tblSuministros[ID],0))</f>
        <v>🟢 OK</v>
      </c>
      <c r="J16" s="78"/>
      <c r="K16" s="78"/>
      <c r="L16" s="78"/>
    </row>
    <row r="17" spans="2:12" ht="18" customHeight="1" x14ac:dyDescent="0.2">
      <c r="B17" s="20" t="s">
        <v>51</v>
      </c>
      <c r="C17" s="77" t="str">
        <f>INDEX(tblSuministros[Nombre],MATCH($B17,tblSuministros[ID],0))</f>
        <v>Motoventiladores Tipo 1 </v>
      </c>
      <c r="D17" s="78"/>
      <c r="E17" s="78"/>
      <c r="F17" s="21">
        <f>INDEX(tblSuministros[Stock_Actual],MATCH($B17,tblSuministros[ID],0))</f>
        <v>36</v>
      </c>
      <c r="G17" s="9">
        <f>INDEX(tblSuministros[Stock_Inicial],MATCH($B17,tblSuministros[ID],0))</f>
        <v>36</v>
      </c>
      <c r="H17" s="22">
        <f t="shared" si="0"/>
        <v>1</v>
      </c>
      <c r="I17" s="82" t="str">
        <f>INDEX(tblSuministros[Alerta],MATCH($B17,tblSuministros[ID],0))</f>
        <v>🟢 OK</v>
      </c>
      <c r="J17" s="78"/>
      <c r="K17" s="78"/>
      <c r="L17" s="78"/>
    </row>
    <row r="18" spans="2:12" ht="18" customHeight="1" x14ac:dyDescent="0.2">
      <c r="B18" s="20" t="s">
        <v>52</v>
      </c>
      <c r="C18" s="77" t="str">
        <f>INDEX(tblSuministros[Nombre],MATCH($B18,tblSuministros[ID],0))</f>
        <v>Motoventiladores Tipo 2 </v>
      </c>
      <c r="D18" s="78"/>
      <c r="E18" s="78"/>
      <c r="F18" s="21">
        <f>INDEX(tblSuministros[Stock_Actual],MATCH($B18,tblSuministros[ID],0))</f>
        <v>32</v>
      </c>
      <c r="G18" s="9">
        <f>INDEX(tblSuministros[Stock_Inicial],MATCH($B18,tblSuministros[ID],0))</f>
        <v>32</v>
      </c>
      <c r="H18" s="22">
        <f t="shared" si="0"/>
        <v>1</v>
      </c>
      <c r="I18" s="82" t="str">
        <f>INDEX(tblSuministros[Alerta],MATCH($B18,tblSuministros[ID],0))</f>
        <v>🟢 OK</v>
      </c>
      <c r="J18" s="78"/>
      <c r="K18" s="78"/>
      <c r="L18" s="78"/>
    </row>
    <row r="19" spans="2:12" ht="18" customHeight="1" x14ac:dyDescent="0.2">
      <c r="B19" s="20" t="s">
        <v>53</v>
      </c>
      <c r="C19" s="77" t="str">
        <f>INDEX(tblSuministros[Nombre],MATCH($B19,tblSuministros[ID],0))</f>
        <v>Motoventiladores Tipo 3 </v>
      </c>
      <c r="D19" s="78"/>
      <c r="E19" s="78"/>
      <c r="F19" s="21">
        <f>INDEX(tblSuministros[Stock_Actual],MATCH($B19,tblSuministros[ID],0))</f>
        <v>0</v>
      </c>
      <c r="G19" s="9">
        <f>INDEX(tblSuministros[Stock_Inicial],MATCH($B19,tblSuministros[ID],0))</f>
        <v>0</v>
      </c>
      <c r="H19" s="22">
        <f t="shared" si="0"/>
        <v>0</v>
      </c>
      <c r="I19" s="82" t="str">
        <f>INDEX(tblSuministros[Alerta],MATCH($B19,tblSuministros[ID],0))</f>
        <v>🔴 SIN STOCK</v>
      </c>
      <c r="J19" s="78"/>
      <c r="K19" s="78"/>
      <c r="L19" s="78"/>
    </row>
    <row r="20" spans="2:12" ht="18" customHeight="1" x14ac:dyDescent="0.2">
      <c r="B20" s="20" t="s">
        <v>54</v>
      </c>
      <c r="C20" s="77" t="str">
        <f>INDEX(tblSuministros[Nombre],MATCH($B20,tblSuministros[ID],0))</f>
        <v>Motoventiladores Tipo 4 </v>
      </c>
      <c r="D20" s="78"/>
      <c r="E20" s="78"/>
      <c r="F20" s="21">
        <f>INDEX(tblSuministros[Stock_Actual],MATCH($B20,tblSuministros[ID],0))</f>
        <v>1</v>
      </c>
      <c r="G20" s="9">
        <f>INDEX(tblSuministros[Stock_Inicial],MATCH($B20,tblSuministros[ID],0))</f>
        <v>1</v>
      </c>
      <c r="H20" s="22">
        <f t="shared" si="0"/>
        <v>1</v>
      </c>
      <c r="I20" s="82" t="str">
        <f>INDEX(tblSuministros[Alerta],MATCH($B20,tblSuministros[ID],0))</f>
        <v>🟡 BAJO</v>
      </c>
      <c r="J20" s="78"/>
      <c r="K20" s="78"/>
      <c r="L20" s="78"/>
    </row>
    <row r="21" spans="2:12" ht="18" customHeight="1" x14ac:dyDescent="0.2">
      <c r="B21" s="20" t="s">
        <v>56</v>
      </c>
      <c r="C21" s="77" t="str">
        <f>INDEX(tblSuministros[Nombre],MATCH($B21,tblSuministros[ID],0))</f>
        <v>Bombas de aceite </v>
      </c>
      <c r="D21" s="78"/>
      <c r="E21" s="78"/>
      <c r="F21" s="21">
        <f>INDEX(tblSuministros[Stock_Actual],MATCH($B21,tblSuministros[ID],0))</f>
        <v>0</v>
      </c>
      <c r="G21" s="9">
        <f>INDEX(tblSuministros[Stock_Inicial],MATCH($B21,tblSuministros[ID],0))</f>
        <v>0</v>
      </c>
      <c r="H21" s="22">
        <f t="shared" si="0"/>
        <v>0</v>
      </c>
      <c r="I21" s="82" t="str">
        <f>INDEX(tblSuministros[Alerta],MATCH($B21,tblSuministros[ID],0))</f>
        <v>🔴 SIN STOCK</v>
      </c>
      <c r="J21" s="78"/>
      <c r="K21" s="78"/>
      <c r="L21" s="78"/>
    </row>
    <row r="22" spans="2:12" ht="18" customHeight="1" x14ac:dyDescent="0.2">
      <c r="B22" s="20" t="s">
        <v>58</v>
      </c>
      <c r="C22" s="77" t="str">
        <f>INDEX(tblSuministros[Nombre],MATCH($B22,tblSuministros[ID],0))</f>
        <v>Membrana tanque de expansión </v>
      </c>
      <c r="D22" s="78"/>
      <c r="E22" s="78"/>
      <c r="F22" s="21">
        <f>INDEX(tblSuministros[Stock_Actual],MATCH($B22,tblSuministros[ID],0))</f>
        <v>0</v>
      </c>
      <c r="G22" s="9">
        <f>INDEX(tblSuministros[Stock_Inicial],MATCH($B22,tblSuministros[ID],0))</f>
        <v>0</v>
      </c>
      <c r="H22" s="22">
        <f t="shared" si="0"/>
        <v>0</v>
      </c>
      <c r="I22" s="82" t="str">
        <f>INDEX(tblSuministros[Alerta],MATCH($B22,tblSuministros[ID],0))</f>
        <v>🔴 SIN STOCK</v>
      </c>
      <c r="J22" s="78"/>
      <c r="K22" s="78"/>
      <c r="L22" s="78"/>
    </row>
    <row r="24" spans="2:12" ht="24" customHeight="1" x14ac:dyDescent="0.2">
      <c r="B24" s="81" t="s">
        <v>889</v>
      </c>
      <c r="C24" s="56"/>
      <c r="D24" s="56"/>
      <c r="E24" s="56"/>
      <c r="F24" s="56"/>
      <c r="G24" s="56"/>
      <c r="H24" s="56"/>
      <c r="I24" s="56"/>
      <c r="J24" s="56"/>
      <c r="K24" s="56"/>
      <c r="L24" s="56"/>
    </row>
    <row r="25" spans="2:12" x14ac:dyDescent="0.2">
      <c r="B25" s="10" t="s">
        <v>888</v>
      </c>
      <c r="C25" s="10" t="s">
        <v>830</v>
      </c>
    </row>
    <row r="26" spans="2:12" ht="16" x14ac:dyDescent="0.2">
      <c r="B26" s="23" t="s">
        <v>890</v>
      </c>
      <c r="C26" s="24">
        <f>COUNTIFS(tblSuministros[Stock_Actual],"&gt;3")</f>
        <v>11</v>
      </c>
    </row>
    <row r="27" spans="2:12" ht="16" x14ac:dyDescent="0.2">
      <c r="B27" s="23" t="s">
        <v>891</v>
      </c>
      <c r="C27" s="25">
        <f>COUNTIFS(tblSuministros[Stock_Actual],"&gt;0",tblSuministros[Stock_Actual],"&lt;=3")</f>
        <v>4</v>
      </c>
    </row>
    <row r="28" spans="2:12" ht="16" x14ac:dyDescent="0.2">
      <c r="B28" s="23" t="s">
        <v>892</v>
      </c>
      <c r="C28" s="26">
        <f>COUNTIFS(tblSuministros[Stock_Actual],"&lt;=0")</f>
        <v>10</v>
      </c>
    </row>
    <row r="37" spans="2:12" ht="24" customHeight="1" x14ac:dyDescent="0.2">
      <c r="B37" s="81" t="s">
        <v>893</v>
      </c>
      <c r="C37" s="56"/>
      <c r="D37" s="56"/>
      <c r="E37" s="56"/>
      <c r="F37" s="56"/>
      <c r="G37" s="56"/>
      <c r="H37" s="56"/>
      <c r="I37" s="56"/>
      <c r="J37" s="56"/>
      <c r="K37" s="56"/>
      <c r="L37" s="56"/>
    </row>
    <row r="38" spans="2:12" x14ac:dyDescent="0.2">
      <c r="B38" s="10" t="s">
        <v>82</v>
      </c>
      <c r="C38" s="10" t="s">
        <v>894</v>
      </c>
      <c r="D38" s="10" t="s">
        <v>895</v>
      </c>
      <c r="E38" s="10" t="s">
        <v>896</v>
      </c>
    </row>
    <row r="39" spans="2:12" x14ac:dyDescent="0.2">
      <c r="B39" s="27" t="s">
        <v>91</v>
      </c>
      <c r="C39" s="21">
        <f>SUMIFS(tblMovimientos[Cantidad],tblMovimientos[Zona],"ORIENTE",tblMovimientos[Tipo],"EGRESO")</f>
        <v>0</v>
      </c>
      <c r="D39" s="21">
        <f>SUMIFS(tblMovimientos[Cantidad],tblMovimientos[Zona],"ORIENTE",tblMovimientos[Tipo],"INGRESO")</f>
        <v>0</v>
      </c>
      <c r="E39" s="21">
        <f>COUNTIFS(tblEquipos[Zona],"ORIENTE")</f>
        <v>60</v>
      </c>
    </row>
    <row r="40" spans="2:12" x14ac:dyDescent="0.2">
      <c r="B40" s="27" t="s">
        <v>103</v>
      </c>
      <c r="C40" s="21">
        <f>SUMIFS(tblMovimientos[Cantidad],tblMovimientos[Zona],"BOLIVAR",tblMovimientos[Tipo],"EGRESO")</f>
        <v>0</v>
      </c>
      <c r="D40" s="21">
        <f>SUMIFS(tblMovimientos[Cantidad],tblMovimientos[Zona],"BOLIVAR",tblMovimientos[Tipo],"INGRESO")</f>
        <v>0</v>
      </c>
      <c r="E40" s="21">
        <f>COUNTIFS(tblEquipos[Zona],"BOLIVAR")</f>
        <v>57</v>
      </c>
    </row>
    <row r="41" spans="2:12" x14ac:dyDescent="0.2">
      <c r="B41" s="27" t="s">
        <v>120</v>
      </c>
      <c r="C41" s="21">
        <f>SUMIFS(tblMovimientos[Cantidad],tblMovimientos[Zona],"OCCIDENTE",tblMovimientos[Tipo],"EGRESO")</f>
        <v>0</v>
      </c>
      <c r="D41" s="21">
        <f>SUMIFS(tblMovimientos[Cantidad],tblMovimientos[Zona],"OCCIDENTE",tblMovimientos[Tipo],"INGRESO")</f>
        <v>0</v>
      </c>
      <c r="E41" s="21">
        <f>COUNTIFS(tblEquipos[Zona],"OCCIDENTE")</f>
        <v>89</v>
      </c>
    </row>
    <row r="48" spans="2:12" ht="24" customHeight="1" x14ac:dyDescent="0.2">
      <c r="B48" s="81" t="s">
        <v>897</v>
      </c>
      <c r="C48" s="56"/>
      <c r="D48" s="56"/>
      <c r="E48" s="56"/>
      <c r="F48" s="56"/>
      <c r="G48" s="56"/>
      <c r="H48" s="56"/>
      <c r="I48" s="56"/>
      <c r="J48" s="56"/>
      <c r="K48" s="56"/>
      <c r="L48" s="56"/>
    </row>
    <row r="49" spans="2:12" x14ac:dyDescent="0.2">
      <c r="B49" s="58" t="s">
        <v>898</v>
      </c>
      <c r="C49" s="56"/>
      <c r="D49" s="56"/>
      <c r="E49" s="56"/>
      <c r="F49" s="56"/>
      <c r="G49" s="56"/>
      <c r="H49" s="56"/>
      <c r="I49" s="56"/>
      <c r="J49" s="56"/>
      <c r="K49" s="56"/>
      <c r="L49" s="56"/>
    </row>
    <row r="50" spans="2:12" x14ac:dyDescent="0.2">
      <c r="B50" s="28" t="s">
        <v>846</v>
      </c>
      <c r="C50" s="79"/>
      <c r="D50" s="63"/>
      <c r="E50" s="28" t="s">
        <v>848</v>
      </c>
      <c r="F50" s="79"/>
      <c r="G50" s="63"/>
      <c r="H50" s="28" t="s">
        <v>849</v>
      </c>
      <c r="I50" s="79"/>
      <c r="J50" s="62"/>
      <c r="K50" s="63"/>
    </row>
    <row r="51" spans="2:12" x14ac:dyDescent="0.2">
      <c r="B51" s="28" t="s">
        <v>851</v>
      </c>
      <c r="C51" s="79"/>
      <c r="D51" s="63"/>
    </row>
    <row r="53" spans="2:12" ht="22" customHeight="1" x14ac:dyDescent="0.2">
      <c r="B53" s="60" t="s">
        <v>899</v>
      </c>
      <c r="C53" s="56"/>
      <c r="D53" s="56"/>
      <c r="E53" s="56"/>
      <c r="F53" s="56"/>
      <c r="G53" s="56"/>
      <c r="H53" s="56"/>
      <c r="I53" s="56"/>
      <c r="J53" s="56"/>
      <c r="K53" s="56"/>
      <c r="L53" s="56"/>
    </row>
    <row r="54" spans="2:12" x14ac:dyDescent="0.2">
      <c r="B54" s="29" t="s">
        <v>825</v>
      </c>
      <c r="C54" s="29" t="s">
        <v>900</v>
      </c>
      <c r="D54" s="29" t="s">
        <v>901</v>
      </c>
      <c r="E54" s="29" t="s">
        <v>82</v>
      </c>
      <c r="F54" s="29" t="s">
        <v>902</v>
      </c>
      <c r="G54" s="29" t="s">
        <v>903</v>
      </c>
      <c r="H54" s="29" t="s">
        <v>884</v>
      </c>
      <c r="I54" s="29" t="s">
        <v>904</v>
      </c>
      <c r="J54" s="29" t="s">
        <v>831</v>
      </c>
    </row>
    <row r="55" spans="2:12" x14ac:dyDescent="0.2">
      <c r="B55" s="30"/>
    </row>
  </sheetData>
  <mergeCells count="48">
    <mergeCell ref="J10:K10"/>
    <mergeCell ref="C22:E22"/>
    <mergeCell ref="I20:L20"/>
    <mergeCell ref="B3:I3"/>
    <mergeCell ref="C21:E21"/>
    <mergeCell ref="I19:L19"/>
    <mergeCell ref="F7:G7"/>
    <mergeCell ref="B11:C11"/>
    <mergeCell ref="C16:E16"/>
    <mergeCell ref="F4:G4"/>
    <mergeCell ref="I14:L14"/>
    <mergeCell ref="F11:G11"/>
    <mergeCell ref="I17:L17"/>
    <mergeCell ref="B7:C7"/>
    <mergeCell ref="J5:K5"/>
    <mergeCell ref="F10:G10"/>
    <mergeCell ref="B48:L48"/>
    <mergeCell ref="B2:I2"/>
    <mergeCell ref="F5:G5"/>
    <mergeCell ref="C50:D50"/>
    <mergeCell ref="C17:E17"/>
    <mergeCell ref="I15:L15"/>
    <mergeCell ref="F50:G50"/>
    <mergeCell ref="B8:C8"/>
    <mergeCell ref="F8:G8"/>
    <mergeCell ref="I18:L18"/>
    <mergeCell ref="B5:C5"/>
    <mergeCell ref="I21:L21"/>
    <mergeCell ref="B24:L24"/>
    <mergeCell ref="J8:K8"/>
    <mergeCell ref="B4:C4"/>
    <mergeCell ref="C20:E20"/>
    <mergeCell ref="B53:L53"/>
    <mergeCell ref="J4:K4"/>
    <mergeCell ref="J11:K11"/>
    <mergeCell ref="B13:L13"/>
    <mergeCell ref="C19:E19"/>
    <mergeCell ref="I50:K50"/>
    <mergeCell ref="C51:D51"/>
    <mergeCell ref="J7:K7"/>
    <mergeCell ref="B10:C10"/>
    <mergeCell ref="C18:E18"/>
    <mergeCell ref="B37:L37"/>
    <mergeCell ref="I16:L16"/>
    <mergeCell ref="C15:E15"/>
    <mergeCell ref="B49:L49"/>
    <mergeCell ref="I22:L22"/>
    <mergeCell ref="C14:E14"/>
  </mergeCells>
  <conditionalFormatting sqref="F15:F22">
    <cfRule type="cellIs" dxfId="4" priority="1" operator="lessThanOrEqual">
      <formula>0</formula>
    </cfRule>
    <cfRule type="cellIs" dxfId="3" priority="2" operator="between">
      <formula>1</formula>
      <formula>3</formula>
    </cfRule>
  </conditionalFormatting>
  <conditionalFormatting sqref="I15:I22">
    <cfRule type="expression" dxfId="2" priority="3">
      <formula>ISNUMBER(SEARCH("🔴",$I15))</formula>
    </cfRule>
    <cfRule type="expression" dxfId="1" priority="4">
      <formula>ISNUMBER(SEARCH("🟡",$I15))</formula>
    </cfRule>
    <cfRule type="expression" dxfId="0" priority="5">
      <formula>ISNUMBER(SEARCH("🟢",$I15))</formula>
    </cfRule>
  </conditionalFormatting>
  <dataValidations count="2">
    <dataValidation type="list" allowBlank="1" sqref="C50" xr:uid="{00000000-0002-0000-0700-000000000000}">
      <formula1>"ORIENTE,BOLIVAR,OCCIDENTE"</formula1>
    </dataValidation>
    <dataValidation type="list" allowBlank="1" sqref="F50" xr:uid="{00000000-0002-0000-0700-000001000000}">
      <formula1>"CESAR,MAGDALENA,BOLIVAR,CORDOBA,SUCRE"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0000000-0002-0000-0700-000002000000}">
          <x14:formula1>
            <xm:f>Equipos!$F$4:$F$209</xm:f>
          </x14:formula1>
          <xm:sqref>I50</xm:sqref>
        </x14:dataValidation>
        <x14:dataValidation type="list" allowBlank="1" xr:uid="{00000000-0002-0000-0700-000003000000}">
          <x14:formula1>
            <xm:f>Equipos!$B$4:$B$209</xm:f>
          </x14:formula1>
          <xm:sqref>C51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44</vt:i4>
      </vt:variant>
    </vt:vector>
  </HeadingPairs>
  <TitlesOfParts>
    <vt:vector size="52" baseType="lpstr">
      <vt:lpstr>README</vt:lpstr>
      <vt:lpstr>Catalogo_Suministros</vt:lpstr>
      <vt:lpstr>Marcas</vt:lpstr>
      <vt:lpstr>ListasMarcas</vt:lpstr>
      <vt:lpstr>Equipos</vt:lpstr>
      <vt:lpstr>Movimientos</vt:lpstr>
      <vt:lpstr>Entrega</vt:lpstr>
      <vt:lpstr>Dashboard</vt:lpstr>
      <vt:lpstr>ent_anio</vt:lpstr>
      <vt:lpstr>ent_cantidad</vt:lpstr>
      <vt:lpstr>ent_dep</vt:lpstr>
      <vt:lpstr>ent_eqDesc</vt:lpstr>
      <vt:lpstr>ent_equipoID</vt:lpstr>
      <vt:lpstr>ent_marca</vt:lpstr>
      <vt:lpstr>ent_obs</vt:lpstr>
      <vt:lpstr>ent_potencia</vt:lpstr>
      <vt:lpstr>ent_stock</vt:lpstr>
      <vt:lpstr>ent_stockFinal</vt:lpstr>
      <vt:lpstr>ent_subest</vt:lpstr>
      <vt:lpstr>ent_sumID</vt:lpstr>
      <vt:lpstr>ent_sumNombre</vt:lpstr>
      <vt:lpstr>ent_tipo</vt:lpstr>
      <vt:lpstr>ent_unidad</vt:lpstr>
      <vt:lpstr>ent_usuario</vt:lpstr>
      <vt:lpstr>ent_valid</vt:lpstr>
      <vt:lpstr>ent_zona</vt:lpstr>
      <vt:lpstr>flt_dep</vt:lpstr>
      <vt:lpstr>flt_eq</vt:lpstr>
      <vt:lpstr>flt_sub</vt:lpstr>
      <vt:lpstr>flt_zona</vt:lpstr>
      <vt:lpstr>S01</vt:lpstr>
      <vt:lpstr>S02</vt:lpstr>
      <vt:lpstr>S03</vt:lpstr>
      <vt:lpstr>S04</vt:lpstr>
      <vt:lpstr>S05</vt:lpstr>
      <vt:lpstr>S06</vt:lpstr>
      <vt:lpstr>S07</vt:lpstr>
      <vt:lpstr>S08</vt:lpstr>
      <vt:lpstr>S09</vt:lpstr>
      <vt:lpstr>S10</vt:lpstr>
      <vt:lpstr>S11</vt:lpstr>
      <vt:lpstr>S12</vt:lpstr>
      <vt:lpstr>S13</vt:lpstr>
      <vt:lpstr>S14</vt:lpstr>
      <vt:lpstr>S15</vt:lpstr>
      <vt:lpstr>S16</vt:lpstr>
      <vt:lpstr>S17</vt:lpstr>
      <vt:lpstr>S18</vt:lpstr>
      <vt:lpstr>S19</vt:lpstr>
      <vt:lpstr>S20</vt:lpstr>
      <vt:lpstr>S21</vt:lpstr>
      <vt:lpstr>S22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Miguel Jimenez</cp:lastModifiedBy>
  <cp:revision/>
  <dcterms:created xsi:type="dcterms:W3CDTF">2026-04-22T00:20:46Z</dcterms:created>
  <dcterms:modified xsi:type="dcterms:W3CDTF">2026-04-26T18:37:39Z</dcterms:modified>
  <cp:category/>
  <cp:contentStatus/>
</cp:coreProperties>
</file>